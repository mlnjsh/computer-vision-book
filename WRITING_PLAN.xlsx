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lan Amrut Joshi\Desktop\Computer_Vision\"/>
    </mc:Choice>
  </mc:AlternateContent>
  <xr:revisionPtr revIDLastSave="0" documentId="13_ncr:1_{E56C5BC1-F02A-4038-8AAF-4C4E906323C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Overview" sheetId="1" r:id="rId1"/>
    <sheet name="Chapter Plan" sheetId="2" r:id="rId2"/>
    <sheet name="Daily Schedule" sheetId="3" r:id="rId3"/>
    <sheet name="Daily Routine" sheetId="4" r:id="rId4"/>
    <sheet name="Risks &amp; Mitigations" sheetId="5" r:id="rId5"/>
    <sheet name="Word Track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6" l="1"/>
  <c r="D5" i="6" s="1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G4" i="6" s="1"/>
  <c r="H25" i="2"/>
  <c r="D26" i="2" s="1"/>
  <c r="D25" i="2"/>
</calcChain>
</file>

<file path=xl/sharedStrings.xml><?xml version="1.0" encoding="utf-8"?>
<sst xmlns="http://schemas.openxmlformats.org/spreadsheetml/2006/main" count="492" uniqueCount="253">
  <si>
    <t>Computer Vision: From Foundations to Frontier</t>
  </si>
  <si>
    <t>20-Chapter Book — 8-Week Writing Plan</t>
  </si>
  <si>
    <t>Author</t>
  </si>
  <si>
    <t>Milan Amrut Joshi</t>
  </si>
  <si>
    <t>Start date</t>
  </si>
  <si>
    <t>Target words/chapter</t>
  </si>
  <si>
    <t>~3,000</t>
  </si>
  <si>
    <t>Total target words</t>
  </si>
  <si>
    <t>Working days</t>
  </si>
  <si>
    <t>Hours/day</t>
  </si>
  <si>
    <t>3 (writing + code)</t>
  </si>
  <si>
    <t>Buffer week</t>
  </si>
  <si>
    <t>Weekly Summary</t>
  </si>
  <si>
    <t>Week</t>
  </si>
  <si>
    <t>Dates</t>
  </si>
  <si>
    <t>Chapters</t>
  </si>
  <si>
    <t>Target Words</t>
  </si>
  <si>
    <t>Difficulty</t>
  </si>
  <si>
    <t>Notes</t>
  </si>
  <si>
    <t>Week 0</t>
  </si>
  <si>
    <t>—</t>
  </si>
  <si>
    <t>Pre-launch: repo, dataset, template</t>
  </si>
  <si>
    <t>Week 1</t>
  </si>
  <si>
    <t>Ch1, Ch2</t>
  </si>
  <si>
    <t>1.0/5</t>
  </si>
  <si>
    <t>Foundations warm-up — fast wins</t>
  </si>
  <si>
    <t>Week 2</t>
  </si>
  <si>
    <t>Ch3, Ch4</t>
  </si>
  <si>
    <t>2.5/5</t>
  </si>
  <si>
    <t>Geometry-heavy week — figures matter</t>
  </si>
  <si>
    <t>Week 3</t>
  </si>
  <si>
    <t>Ch5, Ch6</t>
  </si>
  <si>
    <t>2.0/5</t>
  </si>
  <si>
    <t>CNN core + training tricks</t>
  </si>
  <si>
    <t>Week 4</t>
  </si>
  <si>
    <t>Ch7, Ch8</t>
  </si>
  <si>
    <t>3.0/5</t>
  </si>
  <si>
    <t>Detection + segmentation. Mid-book consistency pass</t>
  </si>
  <si>
    <t>Week 5</t>
  </si>
  <si>
    <t>Ch9, Ch10</t>
  </si>
  <si>
    <t>4.0/5</t>
  </si>
  <si>
    <t>ViTs + self-supervised (DINOv3)</t>
  </si>
  <si>
    <t>Week 6</t>
  </si>
  <si>
    <t>Ch11, Ch12, Ch13</t>
  </si>
  <si>
    <t>3.7/5</t>
  </si>
  <si>
    <t>Hardest chapter (Diffusion) lands here</t>
  </si>
  <si>
    <t>Week 7</t>
  </si>
  <si>
    <t>Ch14, Ch15, Ch16</t>
  </si>
  <si>
    <t>Multimodal frontier + 3D Gaussian Splatting</t>
  </si>
  <si>
    <t>Week 8</t>
  </si>
  <si>
    <t>Ch17, Ch18, Ch19, Ch20</t>
  </si>
  <si>
    <t>3.8/5</t>
  </si>
  <si>
    <t>VLA + Domains + Edge + MLOps + cross-pass</t>
  </si>
  <si>
    <t>Chapter Plan — All 20 Chapters</t>
  </si>
  <si>
    <t>#</t>
  </si>
  <si>
    <t>Chapter Title</t>
  </si>
  <si>
    <t>Difficulty (1-5)</t>
  </si>
  <si>
    <t>Hands-On Project</t>
  </si>
  <si>
    <t>Status</t>
  </si>
  <si>
    <t>Actual Words</t>
  </si>
  <si>
    <t>The 2026 Computer Vision Landscape</t>
  </si>
  <si>
    <t>Mental-model diagram + framework benchmark</t>
  </si>
  <si>
    <t>Not started</t>
  </si>
  <si>
    <t>Image Fundamentals and Pixel-Level Operations</t>
  </si>
  <si>
    <t>Document-cleanup preprocessor (OpenCV)</t>
  </si>
  <si>
    <t>Classical Feature Engineering: SIFT, ORB, Geometry</t>
  </si>
  <si>
    <t>Multi-image panorama + logo detector</t>
  </si>
  <si>
    <t>Camera Geometry, Calibration, and Stereo Vision</t>
  </si>
  <si>
    <t>Webcam calibration + StereoSGBM depth map</t>
  </si>
  <si>
    <t>CNNs: From LeNet to ConvNeXt</t>
  </si>
  <si>
    <t>ResNet-18 from scratch on CIFAR-10</t>
  </si>
  <si>
    <t>Training Modern Vision Models in Practice</t>
  </si>
  <si>
    <t>Beat a timm baseline with training tricks</t>
  </si>
  <si>
    <t>Object Detection: R-CNN to YOLO26 and DETR</t>
  </si>
  <si>
    <t>YOLO26 vs RT-DETR on Roboflow dataset</t>
  </si>
  <si>
    <t>Image Segmentation: U-Net to SAM 3 + Grounding DINO</t>
  </si>
  <si>
    <t>Zero-shot Gradio segmentation app</t>
  </si>
  <si>
    <t>Vision Transformers and Hybrid Architectures</t>
  </si>
  <si>
    <t>ViT vs ResNet attention/CAM comparison</t>
  </si>
  <si>
    <t>Self-Supervised Vision: SimCLR to DINOv3</t>
  </si>
  <si>
    <t>Frozen DINOv3 backbone for downstream seg</t>
  </si>
  <si>
    <t>CLIP and Vision-Language Pretraining</t>
  </si>
  <si>
    <t>CLIP + FAISS photo search app</t>
  </si>
  <si>
    <t>Generative Vision: GANs, VAEs, Diffusion Era</t>
  </si>
  <si>
    <t>SDXL LoRA fine-tune + ControlNet chain</t>
  </si>
  <si>
    <t>Vision-Language Models: The Multimodal Stack</t>
  </si>
  <si>
    <t>Claude Vision + Qwen2.5-VL doc Q&amp;A</t>
  </si>
  <si>
    <t>Document AI and Visual Agents</t>
  </si>
  <si>
    <t>Invoice extraction + browser-control agent</t>
  </si>
  <si>
    <t>Video Understanding: Action, Tracking, VideoMAE</t>
  </si>
  <si>
    <t>Sports-analytics pipeline (detect+track+count)</t>
  </si>
  <si>
    <t>3D Vision: Depth, NeRF, Gaussian Splatting</t>
  </si>
  <si>
    <t>Phone-capture to 3DGS fly-through</t>
  </si>
  <si>
    <t>Vision-Language-Action Models for Robotics</t>
  </si>
  <si>
    <t>OpenVLA simulation + attention viz</t>
  </si>
  <si>
    <t>Domain-Specific Vision: Medical, AV, Geospatial, Agri</t>
  </si>
  <si>
    <t>MONAI chest-X-ray + BEV toy example</t>
  </si>
  <si>
    <t>Optimization and Edge Deployment</t>
  </si>
  <si>
    <t>YOLO26 INT8 → TensorRT → Jetson Orin Nano</t>
  </si>
  <si>
    <t>MLOps, Responsible AI, and the Future of CV</t>
  </si>
  <si>
    <t>End-to-end production capstone</t>
  </si>
  <si>
    <t>TOTAL</t>
  </si>
  <si>
    <t>PROGRESS</t>
  </si>
  <si>
    <t>Daily Writing Schedule (Mon–Sat, 6 days/week)</t>
  </si>
  <si>
    <t>Day #</t>
  </si>
  <si>
    <t>Date</t>
  </si>
  <si>
    <t>Day</t>
  </si>
  <si>
    <t>Chapter</t>
  </si>
  <si>
    <t>Activity</t>
  </si>
  <si>
    <t>Hours</t>
  </si>
  <si>
    <t>Done?</t>
  </si>
  <si>
    <t>Mon</t>
  </si>
  <si>
    <t>Set up GitHub repo: chapters/, notebooks/, figures/, case-studies/</t>
  </si>
  <si>
    <t>Tue</t>
  </si>
  <si>
    <t>Pick running case-study dataset (Roboflow 100 + EY domain)</t>
  </si>
  <si>
    <t>Wed</t>
  </si>
  <si>
    <t>Draft chapter template (intro→theory→code→production→exercises→refs)</t>
  </si>
  <si>
    <t>Thu</t>
  </si>
  <si>
    <t>Block daily writing window on calendar; install reference manager</t>
  </si>
  <si>
    <t>Fri</t>
  </si>
  <si>
    <t>Read MIT visionbook + Stanford CS231n 2026 syllabus</t>
  </si>
  <si>
    <t>Sat</t>
  </si>
  <si>
    <t>Snapshot dependency lockfile (requirements.txt, conda env)</t>
  </si>
  <si>
    <t>Ch1</t>
  </si>
  <si>
    <t>Ch1: outline + draft sections 1-3 (history, eras, pipeline)</t>
  </si>
  <si>
    <t>Ch1: draft sections 4-6 + framework comparison table</t>
  </si>
  <si>
    <t>Ch1: case-study introduction + figures + edit pass</t>
  </si>
  <si>
    <t>Ch2</t>
  </si>
  <si>
    <t>Ch2: draft pixel/color spaces + convolution sections</t>
  </si>
  <si>
    <t>Ch2: edge detection + morphology + thresholding</t>
  </si>
  <si>
    <t>Ch2: document-cleanup preprocessor notebook + edit</t>
  </si>
  <si>
    <t>Ch3</t>
  </si>
  <si>
    <t>Ch3: SIFT/ORB/BRIEF descriptors + matching theory</t>
  </si>
  <si>
    <t>Ch3: RANSAC + homography + Hough transforms</t>
  </si>
  <si>
    <t>Ch3: panorama + logo detector notebook</t>
  </si>
  <si>
    <t>Ch4</t>
  </si>
  <si>
    <t>Ch4: pinhole/fisheye models + intrinsics/extrinsics math</t>
  </si>
  <si>
    <t>Ch4: calibration + epipolar geometry + figures</t>
  </si>
  <si>
    <t>Ch4: webcam calibration + StereoSGBM notebook</t>
  </si>
  <si>
    <t>Ch5</t>
  </si>
  <si>
    <t>Ch5: implement ResNet-18 from scratch first, then write around it</t>
  </si>
  <si>
    <t>Ch5: CNN family-tree narrative (LeNet→ConvNeXt)</t>
  </si>
  <si>
    <t>Ch5: CIFAR-10 reproduction + edit + figures</t>
  </si>
  <si>
    <t>Ch6</t>
  </si>
  <si>
    <t>Ch6: data loaders + Albumentations + mixup/cutmix</t>
  </si>
  <si>
    <t>Ch6: optimizers + schedulers + AMP + Lightning</t>
  </si>
  <si>
    <t>Ch6: timm baseline-beating notebook + W&amp;B integration</t>
  </si>
  <si>
    <t>Ch7</t>
  </si>
  <si>
    <t>Ch7: two-stage detectors narrative (R-CNN family)</t>
  </si>
  <si>
    <t>Ch7: YOLO evolution + DETR/RT-DETR + mAP/IoU</t>
  </si>
  <si>
    <t>Ch7: YOLO26 vs RT-DETR benchmark notebook</t>
  </si>
  <si>
    <t>Ch8</t>
  </si>
  <si>
    <t>Ch8: U-Net/DeepLab/Mask R-CNN narrative</t>
  </si>
  <si>
    <t>Ch8: SAM 3 + Grounding DINO architecture deep-dive</t>
  </si>
  <si>
    <t>Ch8: Gradio app + mid-book consistency pass</t>
  </si>
  <si>
    <t>Ch9</t>
  </si>
  <si>
    <t>Ch9: attention from scratch + ViT walkthrough</t>
  </si>
  <si>
    <t>Ch9: Swin/MaxViT/Mamba-Vision + when ViT wins/loses</t>
  </si>
  <si>
    <t>Ch9: ViT-Small ImageNette + attention-map figures</t>
  </si>
  <si>
    <t>Ch10</t>
  </si>
  <si>
    <t>Ch10: contrastive (SimCLR/MoCo/BYOL) narrative</t>
  </si>
  <si>
    <t>Ch10: MAE + DINO/v2/v3 + frozen-backbone story</t>
  </si>
  <si>
    <t>Ch10: DINOv3 frozen-backbone seg notebook</t>
  </si>
  <si>
    <t>Ch11</t>
  </si>
  <si>
    <t>Ch11: CLIP/SigLIP/EVA-CLIP + retrieval theory</t>
  </si>
  <si>
    <t>Ch11: photo search app (CLIP + FAISS) + prompt engineering</t>
  </si>
  <si>
    <t>Ch12</t>
  </si>
  <si>
    <t>Ch12: GAN/VAE narrative + diffusion DDPM math</t>
  </si>
  <si>
    <t>Ch12: SD 3.5/Flux/SDXL/ControlNet + LoRA fine-tune notebook</t>
  </si>
  <si>
    <t>Ch13</t>
  </si>
  <si>
    <t>Ch13: VLM anatomy + LLaVA/Qwen-VL/Florence-3 + Claude/GPT-4o/Gemini</t>
  </si>
  <si>
    <t>Ch13: Claude Vision doc Q&amp;A + Qwen2.5-VL fallback notebook</t>
  </si>
  <si>
    <t>Ch14</t>
  </si>
  <si>
    <t>Ch14: OCR/layout (PaddleOCR/Donut/LayoutLM) + structured-output VLMs</t>
  </si>
  <si>
    <t>Ch14: visual agent loop + invoice + browser-agent notebook</t>
  </si>
  <si>
    <t>Ch15</t>
  </si>
  <si>
    <t>Ch15: optical flow + 3D CNNs + VideoMAE narrative</t>
  </si>
  <si>
    <t>Ch15: tracking (SORT→ByteTrack→SAM 2) + sports-analytics demo</t>
  </si>
  <si>
    <t>Ch16</t>
  </si>
  <si>
    <t>Ch16: depth + point clouds + COLMAP + NeRF lineage</t>
  </si>
  <si>
    <t>Ch16: 3DGS + Nerfstudio + phone-capture fly-through notebook</t>
  </si>
  <si>
    <t>Ch17</t>
  </si>
  <si>
    <t>Ch17: VLA paradigm + RT-2/OpenVLA/π0/Helix narrative</t>
  </si>
  <si>
    <t>Ch17: OpenVLA simulation + attention viz notebook</t>
  </si>
  <si>
    <t>Ch18</t>
  </si>
  <si>
    <t>Ch18: Medical (MONAI) + AV (BEV) + Geospatial + Agriculture</t>
  </si>
  <si>
    <t>Ch19</t>
  </si>
  <si>
    <t>Ch19: quantization + ONNX/TensorRT/CoreML + Jetson benchmark</t>
  </si>
  <si>
    <t>Ch20</t>
  </si>
  <si>
    <t>Ch20: MLOps + responsible AI + future + capstone integration</t>
  </si>
  <si>
    <t>Cross-chapter pass: forward refs, dedup, transitions, figure polish</t>
  </si>
  <si>
    <t>Daily Routine That Makes 8 Weeks Possible</t>
  </si>
  <si>
    <t>Time</t>
  </si>
  <si>
    <t>Why</t>
  </si>
  <si>
    <t>Morning (90 min)</t>
  </si>
  <si>
    <t>Drafting prose for current chapter</t>
  </si>
  <si>
    <t>No research, no rabbit holes — pure output. Highest energy hours.</t>
  </si>
  <si>
    <t>Midday (60 min)</t>
  </si>
  <si>
    <t>Code / notebook for current chapter</t>
  </si>
  <si>
    <t>Code first, prose around it. Notebook drives the explanation.</t>
  </si>
  <si>
    <t>Evening (30 min)</t>
  </si>
  <si>
    <t>Outline tomorrow + collect 2-3 references</t>
  </si>
  <si>
    <t>Avoid blank-page friction at start of next session.</t>
  </si>
  <si>
    <t>Weekly</t>
  </si>
  <si>
    <t>Saturday is buffer / catch-up</t>
  </si>
  <si>
    <t>Sunday off. Avoid burnout.</t>
  </si>
  <si>
    <t>Mid-book (end Week 4)</t>
  </si>
  <si>
    <t>Half-day consistency pass on Ch 1-8</t>
  </si>
  <si>
    <t>Catch voice drift early; build cross-references list.</t>
  </si>
  <si>
    <t>Weekly check</t>
  </si>
  <si>
    <t>Update Chapter Plan status + actual words</t>
  </si>
  <si>
    <t>Tracks momentum honestly.</t>
  </si>
  <si>
    <t>Risks and Mitigations</t>
  </si>
  <si>
    <t>Risk</t>
  </si>
  <si>
    <t>Mitigation</t>
  </si>
  <si>
    <t>Trigger</t>
  </si>
  <si>
    <t>Hardest chapters (Diffusion Ch12, VLA Ch17, 3DGS Ch16) bog down whole plan</t>
  </si>
  <si>
    <t>Schedule them in peak weeks (5-7), not the last week. Pre-research one week ahead.</t>
  </si>
  <si>
    <t>When draft progress for these chapters falls behind by &gt;1 day</t>
  </si>
  <si>
    <t>Code breaks across library upgrades</t>
  </si>
  <si>
    <t>Pin every dependency in a per-chapter requirements.txt; snapshot Colab-compatible env</t>
  </si>
  <si>
    <t>Any "it worked yesterday" moment</t>
  </si>
  <si>
    <t>"Just one more reference" rabbit hole</t>
  </si>
  <si>
    <t>Hard-cap research at 30 min/day per chapter; missing items become footnotes for revision pass</t>
  </si>
  <si>
    <t>When research time exceeds writing time on any day</t>
  </si>
  <si>
    <t>Energy dip in Week 5 (statistically common)</t>
  </si>
  <si>
    <t>Pre-book a no-meetings, single-coffee-shop writing day to break the slump</t>
  </si>
  <si>
    <t>Two consecutive low-output days</t>
  </si>
  <si>
    <t>Voice / tone drift across chapters</t>
  </si>
  <si>
    <t>Mid-book consistency pass at end of Week 4 (built into schedule)</t>
  </si>
  <si>
    <t>When re-reading earlier chapters feels like another author wrote them</t>
  </si>
  <si>
    <t>VLA / SAM 3 / SD 3.5 lib changes mid-writing</t>
  </si>
  <si>
    <t>Lock model versions; note "as of Apr 2026" inline so updates are easy</t>
  </si>
  <si>
    <t>Major release announcement during writing period</t>
  </si>
  <si>
    <t>Underestimating revision time</t>
  </si>
  <si>
    <t>Reserve full Week 9 buffer for revision + reviewer feedback</t>
  </si>
  <si>
    <t>When draft completes but reviewers find structural issues</t>
  </si>
  <si>
    <t>Daily Word Count Tracker</t>
  </si>
  <si>
    <t>Words Drafted</t>
  </si>
  <si>
    <t>Cumulative</t>
  </si>
  <si>
    <t>Goal</t>
  </si>
  <si>
    <t>Cumulative %</t>
  </si>
  <si>
    <t>2026-05-01 (Fri)</t>
  </si>
  <si>
    <t>Week 10 (revision sprint)</t>
  </si>
  <si>
    <t>May 01 – May 07</t>
  </si>
  <si>
    <t>May 08 – May 14</t>
  </si>
  <si>
    <t>May 15 – May 21</t>
  </si>
  <si>
    <t>May 22 – May 28</t>
  </si>
  <si>
    <t>May 29 – Jun 04</t>
  </si>
  <si>
    <t>Jun 05 – Jun 11</t>
  </si>
  <si>
    <t>Jun 12 – Jun 18</t>
  </si>
  <si>
    <t>Jun 19 – Jun 25</t>
  </si>
  <si>
    <t>Jun 26 – Jul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</si>
</sst>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b/>
      <sz val="20"/>
      <color rgb="FF1F3A68"/>
      <name val="Calibri"/>
    </font>
    <font>
      <i/>
      <sz val="13"/>
      <color rgb="FF4A4A4A"/>
      <name val="Calibri"/>
    </font>
    <font>
      <b/>
      <sz val="11"/>
      <color rgb="FF1F3A68"/>
      <name val="Calibri"/>
    </font>
    <font>
      <sz val="11"/>
      <name val="Calibri"/>
    </font>
    <font>
      <b/>
      <sz val="14"/>
      <color rgb="FF1F3A68"/>
      <name val="Calibri"/>
    </font>
    <font>
      <b/>
      <sz val="11"/>
      <color rgb="FFFFFFFF"/>
      <name val="Calibri"/>
    </font>
    <font>
      <sz val="10"/>
      <color rgb="FF222222"/>
      <name val="Calibri"/>
    </font>
    <font>
      <b/>
      <sz val="18"/>
      <color rgb="FF1F3A68"/>
      <name val="Calibri"/>
    </font>
    <font>
      <b/>
      <sz val="12"/>
      <color rgb="FF1F3A68"/>
      <name val="Calibri"/>
    </font>
    <font>
      <b/>
      <sz val="11"/>
      <color rgb="FF1F3A68"/>
      <name val="Calibri"/>
    </font>
    <font>
      <b/>
      <sz val="12"/>
      <color rgb="FF2D7A3E"/>
      <name val="Calibri"/>
    </font>
    <font>
      <b/>
      <sz val="11"/>
      <color rgb="FF2D7A3E"/>
      <name val="Calibri"/>
    </font>
    <font>
      <b/>
      <sz val="10"/>
      <color rgb="FF222222"/>
      <name val="Calibri"/>
    </font>
    <font>
      <b/>
      <sz val="11"/>
      <color rgb="FF1F3A68"/>
      <name val="Calibri"/>
    </font>
    <font>
      <b/>
      <sz val="11"/>
      <name val="Calibri"/>
    </font>
    <font>
      <b/>
      <sz val="11"/>
      <color rgb="FF2D7A3E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A68"/>
      </patternFill>
    </fill>
    <fill>
      <patternFill patternType="solid">
        <fgColor rgb="FFE8EEF7"/>
      </patternFill>
    </fill>
    <fill>
      <patternFill patternType="solid">
        <fgColor rgb="FFFFFFFF"/>
      </patternFill>
    </fill>
    <fill>
      <patternFill patternType="solid">
        <fgColor rgb="FFC8EBC8"/>
      </patternFill>
    </fill>
    <fill>
      <patternFill patternType="solid">
        <fgColor rgb="FFE0F2C0"/>
      </patternFill>
    </fill>
    <fill>
      <patternFill patternType="solid">
        <fgColor rgb="FFFFEFB0"/>
      </patternFill>
    </fill>
    <fill>
      <patternFill patternType="solid">
        <fgColor rgb="FFFFD499"/>
      </patternFill>
    </fill>
    <fill>
      <patternFill patternType="solid">
        <fgColor rgb="FFF4B7B7"/>
      </patternFill>
    </fill>
    <fill>
      <patternFill patternType="solid">
        <fgColor rgb="FFFCEEDC"/>
      </patternFill>
    </fill>
    <fill>
      <patternFill patternType="solid">
        <fgColor rgb="FFF2F2F2"/>
      </patternFill>
    </fill>
    <fill>
      <patternFill patternType="solid">
        <fgColor rgb="FFFCE4E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center" vertical="top"/>
    </xf>
    <xf numFmtId="0" fontId="7" fillId="5" borderId="2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top"/>
    </xf>
    <xf numFmtId="0" fontId="7" fillId="7" borderId="2" xfId="0" applyFont="1" applyFill="1" applyBorder="1" applyAlignment="1">
      <alignment horizontal="center" vertical="top"/>
    </xf>
    <xf numFmtId="0" fontId="7" fillId="8" borderId="2" xfId="0" applyFont="1" applyFill="1" applyBorder="1" applyAlignment="1">
      <alignment horizontal="center" vertical="top"/>
    </xf>
    <xf numFmtId="0" fontId="7" fillId="9" borderId="2" xfId="0" applyFont="1" applyFill="1" applyBorder="1" applyAlignment="1">
      <alignment horizontal="center" vertical="top"/>
    </xf>
    <xf numFmtId="0" fontId="9" fillId="0" borderId="0" xfId="0" applyFont="1"/>
    <xf numFmtId="0" fontId="10" fillId="0" borderId="0" xfId="0" applyFont="1"/>
    <xf numFmtId="0" fontId="11" fillId="0" borderId="0" xfId="0" applyFont="1"/>
    <xf numFmtId="164" fontId="12" fillId="0" borderId="0" xfId="0" applyNumberFormat="1" applyFont="1"/>
    <xf numFmtId="0" fontId="7" fillId="10" borderId="2" xfId="0" applyFont="1" applyFill="1" applyBorder="1" applyAlignment="1">
      <alignment horizontal="center" vertical="top"/>
    </xf>
    <xf numFmtId="0" fontId="7" fillId="10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top"/>
    </xf>
    <xf numFmtId="0" fontId="7" fillId="11" borderId="2" xfId="0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left" vertical="top" wrapText="1"/>
    </xf>
    <xf numFmtId="0" fontId="13" fillId="3" borderId="2" xfId="0" applyFont="1" applyFill="1" applyBorder="1" applyAlignment="1">
      <alignment horizontal="left" vertical="top" wrapText="1"/>
    </xf>
    <xf numFmtId="0" fontId="13" fillId="4" borderId="2" xfId="0" applyFont="1" applyFill="1" applyBorder="1" applyAlignment="1">
      <alignment horizontal="left" vertical="top" wrapText="1"/>
    </xf>
    <xf numFmtId="0" fontId="13" fillId="10" borderId="2" xfId="0" applyFont="1" applyFill="1" applyBorder="1" applyAlignment="1">
      <alignment horizontal="left" vertical="top" wrapText="1"/>
    </xf>
    <xf numFmtId="0" fontId="14" fillId="0" borderId="0" xfId="0" applyFont="1"/>
    <xf numFmtId="0" fontId="15" fillId="0" borderId="0" xfId="0" applyFont="1"/>
    <xf numFmtId="0" fontId="7" fillId="3" borderId="2" xfId="0" applyFont="1" applyFill="1" applyBorder="1" applyAlignment="1">
      <alignment horizontal="right" vertical="top"/>
    </xf>
    <xf numFmtId="0" fontId="16" fillId="0" borderId="0" xfId="0" applyFont="1"/>
    <xf numFmtId="0" fontId="7" fillId="4" borderId="2" xfId="0" applyFont="1" applyFill="1" applyBorder="1" applyAlignment="1">
      <alignment horizontal="right" vertical="top"/>
    </xf>
    <xf numFmtId="0" fontId="2" fillId="0" borderId="0" xfId="0" applyFont="1"/>
    <xf numFmtId="0" fontId="0" fillId="0" borderId="0" xfId="0"/>
    <xf numFmtId="0" fontId="1" fillId="0" borderId="0" xfId="0" applyFont="1"/>
    <xf numFmtId="0" fontId="5" fillId="0" borderId="0" xfId="0" applyFont="1"/>
    <xf numFmtId="0" fontId="8" fillId="0" borderId="0" xfId="0" applyFont="1"/>
    <xf numFmtId="14" fontId="7" fillId="10" borderId="2" xfId="0" applyNumberFormat="1" applyFont="1" applyFill="1" applyBorder="1" applyAlignment="1">
      <alignment horizontal="left" vertical="top" wrapText="1"/>
    </xf>
    <xf numFmtId="14" fontId="7" fillId="4" borderId="2" xfId="0" applyNumberFormat="1" applyFont="1" applyFill="1" applyBorder="1" applyAlignment="1">
      <alignment horizontal="left" vertical="top" wrapText="1"/>
    </xf>
    <xf numFmtId="14" fontId="7" fillId="11" borderId="2" xfId="0" applyNumberFormat="1" applyFont="1" applyFill="1" applyBorder="1" applyAlignment="1">
      <alignment horizontal="left" vertical="top" wrapText="1"/>
    </xf>
    <xf numFmtId="14" fontId="7" fillId="3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fill>
        <patternFill patternType="solid">
          <fgColor rgb="FFE5F4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0A8222-6EB4-4229-8B8A-9166747ACEA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4d96fe2-9c53-4626-b271-70654d989df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sqref="A1:F1"/>
    </sheetView>
  </sheetViews>
  <sheetFormatPr defaultRowHeight="14.4" x14ac:dyDescent="0.3"/>
  <cols>
    <col min="1" max="1" width="10" customWidth="1"/>
    <col min="2" max="3" width="22" customWidth="1"/>
    <col min="4" max="4" width="14" customWidth="1"/>
    <col min="5" max="5" width="12" customWidth="1"/>
    <col min="6" max="6" width="50" customWidth="1"/>
  </cols>
  <sheetData>
    <row r="1" spans="1:6" ht="28.05" customHeight="1" x14ac:dyDescent="0.5">
      <c r="A1" s="34" t="s">
        <v>0</v>
      </c>
      <c r="B1" s="33"/>
      <c r="C1" s="33"/>
      <c r="D1" s="33"/>
      <c r="E1" s="33"/>
      <c r="F1" s="33"/>
    </row>
    <row r="2" spans="1:6" ht="19.95" customHeight="1" x14ac:dyDescent="0.35">
      <c r="A2" s="32" t="s">
        <v>1</v>
      </c>
      <c r="B2" s="33"/>
      <c r="C2" s="33"/>
      <c r="D2" s="33"/>
      <c r="E2" s="33"/>
      <c r="F2" s="33"/>
    </row>
    <row r="4" spans="1:6" x14ac:dyDescent="0.3">
      <c r="A4" s="1" t="s">
        <v>2</v>
      </c>
      <c r="B4" s="2" t="s">
        <v>3</v>
      </c>
    </row>
    <row r="5" spans="1:6" x14ac:dyDescent="0.3">
      <c r="A5" s="1" t="s">
        <v>4</v>
      </c>
      <c r="B5" s="2" t="s">
        <v>242</v>
      </c>
    </row>
    <row r="6" spans="1:6" x14ac:dyDescent="0.3">
      <c r="A6" s="1" t="s">
        <v>5</v>
      </c>
      <c r="B6" s="2" t="s">
        <v>6</v>
      </c>
    </row>
    <row r="7" spans="1:6" x14ac:dyDescent="0.3">
      <c r="A7" s="1" t="s">
        <v>7</v>
      </c>
      <c r="B7" s="2">
        <v>61500</v>
      </c>
    </row>
    <row r="8" spans="1:6" x14ac:dyDescent="0.3">
      <c r="A8" s="1" t="s">
        <v>8</v>
      </c>
      <c r="B8" s="2">
        <v>6</v>
      </c>
    </row>
    <row r="9" spans="1:6" x14ac:dyDescent="0.3">
      <c r="A9" s="1" t="s">
        <v>9</v>
      </c>
      <c r="B9" s="2" t="s">
        <v>10</v>
      </c>
    </row>
    <row r="10" spans="1:6" x14ac:dyDescent="0.3">
      <c r="A10" s="1" t="s">
        <v>11</v>
      </c>
      <c r="B10" s="2" t="s">
        <v>243</v>
      </c>
    </row>
    <row r="12" spans="1:6" ht="18" x14ac:dyDescent="0.35">
      <c r="A12" s="35" t="s">
        <v>12</v>
      </c>
      <c r="B12" s="33"/>
      <c r="C12" s="33"/>
      <c r="D12" s="33"/>
      <c r="E12" s="33"/>
      <c r="F12" s="33"/>
    </row>
    <row r="13" spans="1:6" x14ac:dyDescent="0.3">
      <c r="A13" s="3" t="s">
        <v>13</v>
      </c>
      <c r="B13" s="3" t="s">
        <v>14</v>
      </c>
      <c r="C13" s="3" t="s">
        <v>15</v>
      </c>
      <c r="D13" s="3" t="s">
        <v>16</v>
      </c>
      <c r="E13" s="3" t="s">
        <v>17</v>
      </c>
      <c r="F13" s="3" t="s">
        <v>18</v>
      </c>
    </row>
    <row r="14" spans="1:6" x14ac:dyDescent="0.3">
      <c r="A14" s="4" t="s">
        <v>19</v>
      </c>
      <c r="B14" s="5" t="s">
        <v>244</v>
      </c>
      <c r="C14" s="5" t="s">
        <v>20</v>
      </c>
      <c r="D14" s="5" t="s">
        <v>20</v>
      </c>
      <c r="E14" s="5" t="s">
        <v>20</v>
      </c>
      <c r="F14" s="5" t="s">
        <v>21</v>
      </c>
    </row>
    <row r="15" spans="1:6" x14ac:dyDescent="0.3">
      <c r="A15" s="6" t="s">
        <v>22</v>
      </c>
      <c r="B15" s="7" t="s">
        <v>245</v>
      </c>
      <c r="C15" s="7" t="s">
        <v>23</v>
      </c>
      <c r="D15" s="7">
        <v>5800</v>
      </c>
      <c r="E15" s="7" t="s">
        <v>24</v>
      </c>
      <c r="F15" s="7" t="s">
        <v>25</v>
      </c>
    </row>
    <row r="16" spans="1:6" x14ac:dyDescent="0.3">
      <c r="A16" s="4" t="s">
        <v>26</v>
      </c>
      <c r="B16" s="5" t="s">
        <v>246</v>
      </c>
      <c r="C16" s="5" t="s">
        <v>27</v>
      </c>
      <c r="D16" s="5">
        <v>6200</v>
      </c>
      <c r="E16" s="5" t="s">
        <v>28</v>
      </c>
      <c r="F16" s="5" t="s">
        <v>29</v>
      </c>
    </row>
    <row r="17" spans="1:6" x14ac:dyDescent="0.3">
      <c r="A17" s="6" t="s">
        <v>30</v>
      </c>
      <c r="B17" s="7" t="s">
        <v>247</v>
      </c>
      <c r="C17" s="7" t="s">
        <v>31</v>
      </c>
      <c r="D17" s="7">
        <v>6200</v>
      </c>
      <c r="E17" s="7" t="s">
        <v>32</v>
      </c>
      <c r="F17" s="7" t="s">
        <v>33</v>
      </c>
    </row>
    <row r="18" spans="1:6" x14ac:dyDescent="0.3">
      <c r="A18" s="4" t="s">
        <v>34</v>
      </c>
      <c r="B18" s="5" t="s">
        <v>248</v>
      </c>
      <c r="C18" s="5" t="s">
        <v>35</v>
      </c>
      <c r="D18" s="5">
        <v>6500</v>
      </c>
      <c r="E18" s="5" t="s">
        <v>36</v>
      </c>
      <c r="F18" s="5" t="s">
        <v>37</v>
      </c>
    </row>
    <row r="19" spans="1:6" x14ac:dyDescent="0.3">
      <c r="A19" s="6" t="s">
        <v>38</v>
      </c>
      <c r="B19" s="7" t="s">
        <v>249</v>
      </c>
      <c r="C19" s="7" t="s">
        <v>39</v>
      </c>
      <c r="D19" s="7">
        <v>6200</v>
      </c>
      <c r="E19" s="7" t="s">
        <v>40</v>
      </c>
      <c r="F19" s="7" t="s">
        <v>41</v>
      </c>
    </row>
    <row r="20" spans="1:6" x14ac:dyDescent="0.3">
      <c r="A20" s="4" t="s">
        <v>42</v>
      </c>
      <c r="B20" s="5" t="s">
        <v>250</v>
      </c>
      <c r="C20" s="5" t="s">
        <v>43</v>
      </c>
      <c r="D20" s="5">
        <v>9500</v>
      </c>
      <c r="E20" s="5" t="s">
        <v>44</v>
      </c>
      <c r="F20" s="5" t="s">
        <v>45</v>
      </c>
    </row>
    <row r="21" spans="1:6" x14ac:dyDescent="0.3">
      <c r="A21" s="6" t="s">
        <v>46</v>
      </c>
      <c r="B21" s="7" t="s">
        <v>251</v>
      </c>
      <c r="C21" s="7" t="s">
        <v>47</v>
      </c>
      <c r="D21" s="7">
        <v>9000</v>
      </c>
      <c r="E21" s="7" t="s">
        <v>40</v>
      </c>
      <c r="F21" s="7" t="s">
        <v>48</v>
      </c>
    </row>
    <row r="22" spans="1:6" x14ac:dyDescent="0.3">
      <c r="A22" s="4" t="s">
        <v>49</v>
      </c>
      <c r="B22" s="5" t="s">
        <v>252</v>
      </c>
      <c r="C22" s="5" t="s">
        <v>50</v>
      </c>
      <c r="D22" s="5">
        <v>12100</v>
      </c>
      <c r="E22" s="5" t="s">
        <v>51</v>
      </c>
      <c r="F22" s="5" t="s">
        <v>52</v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5" customWidth="1"/>
    <col min="2" max="2" width="50" customWidth="1"/>
    <col min="3" max="3" width="10" customWidth="1"/>
    <col min="4" max="5" width="14" customWidth="1"/>
    <col min="6" max="6" width="50" customWidth="1"/>
    <col min="7" max="8" width="14" customWidth="1"/>
  </cols>
  <sheetData>
    <row r="1" spans="1:8" ht="25.95" customHeight="1" x14ac:dyDescent="0.45">
      <c r="A1" s="36" t="s">
        <v>53</v>
      </c>
      <c r="B1" s="33"/>
      <c r="C1" s="33"/>
      <c r="D1" s="33"/>
      <c r="E1" s="33"/>
      <c r="F1" s="33"/>
      <c r="G1" s="33"/>
      <c r="H1" s="33"/>
    </row>
    <row r="3" spans="1:8" x14ac:dyDescent="0.3">
      <c r="A3" s="3" t="s">
        <v>54</v>
      </c>
      <c r="B3" s="3" t="s">
        <v>55</v>
      </c>
      <c r="C3" s="3" t="s">
        <v>13</v>
      </c>
      <c r="D3" s="3" t="s">
        <v>16</v>
      </c>
      <c r="E3" s="3" t="s">
        <v>56</v>
      </c>
      <c r="F3" s="3" t="s">
        <v>57</v>
      </c>
      <c r="G3" s="3" t="s">
        <v>58</v>
      </c>
      <c r="H3" s="3" t="s">
        <v>59</v>
      </c>
    </row>
    <row r="4" spans="1:8" ht="31.95" customHeight="1" x14ac:dyDescent="0.3">
      <c r="A4" s="8">
        <v>1</v>
      </c>
      <c r="B4" s="5" t="s">
        <v>60</v>
      </c>
      <c r="C4" s="5" t="s">
        <v>22</v>
      </c>
      <c r="D4" s="8">
        <v>2800</v>
      </c>
      <c r="E4" s="9">
        <v>1</v>
      </c>
      <c r="F4" s="5" t="s">
        <v>61</v>
      </c>
      <c r="G4" s="5" t="s">
        <v>62</v>
      </c>
      <c r="H4" s="8">
        <v>0</v>
      </c>
    </row>
    <row r="5" spans="1:8" ht="31.95" customHeight="1" x14ac:dyDescent="0.3">
      <c r="A5" s="10">
        <v>2</v>
      </c>
      <c r="B5" s="7" t="s">
        <v>63</v>
      </c>
      <c r="C5" s="7" t="s">
        <v>22</v>
      </c>
      <c r="D5" s="10">
        <v>3000</v>
      </c>
      <c r="E5" s="9">
        <v>1</v>
      </c>
      <c r="F5" s="7" t="s">
        <v>64</v>
      </c>
      <c r="G5" s="7" t="s">
        <v>62</v>
      </c>
      <c r="H5" s="10">
        <v>0</v>
      </c>
    </row>
    <row r="6" spans="1:8" ht="31.95" customHeight="1" x14ac:dyDescent="0.3">
      <c r="A6" s="8">
        <v>3</v>
      </c>
      <c r="B6" s="5" t="s">
        <v>65</v>
      </c>
      <c r="C6" s="5" t="s">
        <v>26</v>
      </c>
      <c r="D6" s="8">
        <v>3000</v>
      </c>
      <c r="E6" s="11">
        <v>2</v>
      </c>
      <c r="F6" s="5" t="s">
        <v>66</v>
      </c>
      <c r="G6" s="5" t="s">
        <v>62</v>
      </c>
      <c r="H6" s="8">
        <v>0</v>
      </c>
    </row>
    <row r="7" spans="1:8" ht="31.95" customHeight="1" x14ac:dyDescent="0.3">
      <c r="A7" s="10">
        <v>4</v>
      </c>
      <c r="B7" s="7" t="s">
        <v>67</v>
      </c>
      <c r="C7" s="7" t="s">
        <v>26</v>
      </c>
      <c r="D7" s="10">
        <v>3200</v>
      </c>
      <c r="E7" s="12">
        <v>3</v>
      </c>
      <c r="F7" s="7" t="s">
        <v>68</v>
      </c>
      <c r="G7" s="7" t="s">
        <v>62</v>
      </c>
      <c r="H7" s="10">
        <v>0</v>
      </c>
    </row>
    <row r="8" spans="1:8" ht="31.95" customHeight="1" x14ac:dyDescent="0.3">
      <c r="A8" s="8">
        <v>5</v>
      </c>
      <c r="B8" s="5" t="s">
        <v>69</v>
      </c>
      <c r="C8" s="5" t="s">
        <v>30</v>
      </c>
      <c r="D8" s="8">
        <v>3200</v>
      </c>
      <c r="E8" s="11">
        <v>2</v>
      </c>
      <c r="F8" s="5" t="s">
        <v>70</v>
      </c>
      <c r="G8" s="5" t="s">
        <v>62</v>
      </c>
      <c r="H8" s="8">
        <v>0</v>
      </c>
    </row>
    <row r="9" spans="1:8" ht="31.95" customHeight="1" x14ac:dyDescent="0.3">
      <c r="A9" s="10">
        <v>6</v>
      </c>
      <c r="B9" s="7" t="s">
        <v>71</v>
      </c>
      <c r="C9" s="7" t="s">
        <v>30</v>
      </c>
      <c r="D9" s="10">
        <v>3000</v>
      </c>
      <c r="E9" s="11">
        <v>2</v>
      </c>
      <c r="F9" s="7" t="s">
        <v>72</v>
      </c>
      <c r="G9" s="7" t="s">
        <v>62</v>
      </c>
      <c r="H9" s="10">
        <v>0</v>
      </c>
    </row>
    <row r="10" spans="1:8" ht="31.95" customHeight="1" x14ac:dyDescent="0.3">
      <c r="A10" s="8">
        <v>7</v>
      </c>
      <c r="B10" s="5" t="s">
        <v>73</v>
      </c>
      <c r="C10" s="5" t="s">
        <v>34</v>
      </c>
      <c r="D10" s="8">
        <v>3300</v>
      </c>
      <c r="E10" s="12">
        <v>3</v>
      </c>
      <c r="F10" s="5" t="s">
        <v>74</v>
      </c>
      <c r="G10" s="5" t="s">
        <v>62</v>
      </c>
      <c r="H10" s="8">
        <v>0</v>
      </c>
    </row>
    <row r="11" spans="1:8" ht="31.95" customHeight="1" x14ac:dyDescent="0.3">
      <c r="A11" s="10">
        <v>8</v>
      </c>
      <c r="B11" s="7" t="s">
        <v>75</v>
      </c>
      <c r="C11" s="7" t="s">
        <v>34</v>
      </c>
      <c r="D11" s="10">
        <v>3200</v>
      </c>
      <c r="E11" s="12">
        <v>3</v>
      </c>
      <c r="F11" s="7" t="s">
        <v>76</v>
      </c>
      <c r="G11" s="7" t="s">
        <v>62</v>
      </c>
      <c r="H11" s="10">
        <v>0</v>
      </c>
    </row>
    <row r="12" spans="1:8" ht="31.95" customHeight="1" x14ac:dyDescent="0.3">
      <c r="A12" s="8">
        <v>9</v>
      </c>
      <c r="B12" s="5" t="s">
        <v>77</v>
      </c>
      <c r="C12" s="5" t="s">
        <v>38</v>
      </c>
      <c r="D12" s="8">
        <v>3200</v>
      </c>
      <c r="E12" s="13">
        <v>4</v>
      </c>
      <c r="F12" s="5" t="s">
        <v>78</v>
      </c>
      <c r="G12" s="5" t="s">
        <v>62</v>
      </c>
      <c r="H12" s="8">
        <v>0</v>
      </c>
    </row>
    <row r="13" spans="1:8" ht="31.95" customHeight="1" x14ac:dyDescent="0.3">
      <c r="A13" s="10">
        <v>10</v>
      </c>
      <c r="B13" s="7" t="s">
        <v>79</v>
      </c>
      <c r="C13" s="7" t="s">
        <v>38</v>
      </c>
      <c r="D13" s="10">
        <v>3000</v>
      </c>
      <c r="E13" s="13">
        <v>4</v>
      </c>
      <c r="F13" s="7" t="s">
        <v>80</v>
      </c>
      <c r="G13" s="7" t="s">
        <v>62</v>
      </c>
      <c r="H13" s="10">
        <v>0</v>
      </c>
    </row>
    <row r="14" spans="1:8" ht="31.95" customHeight="1" x14ac:dyDescent="0.3">
      <c r="A14" s="8">
        <v>11</v>
      </c>
      <c r="B14" s="5" t="s">
        <v>81</v>
      </c>
      <c r="C14" s="5" t="s">
        <v>42</v>
      </c>
      <c r="D14" s="8">
        <v>2800</v>
      </c>
      <c r="E14" s="12">
        <v>3</v>
      </c>
      <c r="F14" s="5" t="s">
        <v>82</v>
      </c>
      <c r="G14" s="5" t="s">
        <v>62</v>
      </c>
      <c r="H14" s="8">
        <v>0</v>
      </c>
    </row>
    <row r="15" spans="1:8" ht="31.95" customHeight="1" x14ac:dyDescent="0.3">
      <c r="A15" s="10">
        <v>12</v>
      </c>
      <c r="B15" s="7" t="s">
        <v>83</v>
      </c>
      <c r="C15" s="7" t="s">
        <v>42</v>
      </c>
      <c r="D15" s="10">
        <v>3500</v>
      </c>
      <c r="E15" s="14">
        <v>5</v>
      </c>
      <c r="F15" s="7" t="s">
        <v>84</v>
      </c>
      <c r="G15" s="7" t="s">
        <v>62</v>
      </c>
      <c r="H15" s="10">
        <v>0</v>
      </c>
    </row>
    <row r="16" spans="1:8" ht="31.95" customHeight="1" x14ac:dyDescent="0.3">
      <c r="A16" s="8">
        <v>13</v>
      </c>
      <c r="B16" s="5" t="s">
        <v>85</v>
      </c>
      <c r="C16" s="5" t="s">
        <v>42</v>
      </c>
      <c r="D16" s="8">
        <v>3200</v>
      </c>
      <c r="E16" s="12">
        <v>3</v>
      </c>
      <c r="F16" s="5" t="s">
        <v>86</v>
      </c>
      <c r="G16" s="5" t="s">
        <v>62</v>
      </c>
      <c r="H16" s="8">
        <v>0</v>
      </c>
    </row>
    <row r="17" spans="1:8" ht="31.95" customHeight="1" x14ac:dyDescent="0.3">
      <c r="A17" s="10">
        <v>14</v>
      </c>
      <c r="B17" s="7" t="s">
        <v>87</v>
      </c>
      <c r="C17" s="7" t="s">
        <v>46</v>
      </c>
      <c r="D17" s="10">
        <v>2800</v>
      </c>
      <c r="E17" s="12">
        <v>3</v>
      </c>
      <c r="F17" s="7" t="s">
        <v>88</v>
      </c>
      <c r="G17" s="7" t="s">
        <v>62</v>
      </c>
      <c r="H17" s="10">
        <v>0</v>
      </c>
    </row>
    <row r="18" spans="1:8" ht="31.95" customHeight="1" x14ac:dyDescent="0.3">
      <c r="A18" s="8">
        <v>15</v>
      </c>
      <c r="B18" s="5" t="s">
        <v>89</v>
      </c>
      <c r="C18" s="5" t="s">
        <v>46</v>
      </c>
      <c r="D18" s="8">
        <v>3000</v>
      </c>
      <c r="E18" s="13">
        <v>4</v>
      </c>
      <c r="F18" s="5" t="s">
        <v>90</v>
      </c>
      <c r="G18" s="5" t="s">
        <v>62</v>
      </c>
      <c r="H18" s="8">
        <v>0</v>
      </c>
    </row>
    <row r="19" spans="1:8" ht="31.95" customHeight="1" x14ac:dyDescent="0.3">
      <c r="A19" s="10">
        <v>16</v>
      </c>
      <c r="B19" s="7" t="s">
        <v>91</v>
      </c>
      <c r="C19" s="7" t="s">
        <v>46</v>
      </c>
      <c r="D19" s="10">
        <v>3200</v>
      </c>
      <c r="E19" s="14">
        <v>5</v>
      </c>
      <c r="F19" s="7" t="s">
        <v>92</v>
      </c>
      <c r="G19" s="7" t="s">
        <v>62</v>
      </c>
      <c r="H19" s="10">
        <v>0</v>
      </c>
    </row>
    <row r="20" spans="1:8" ht="31.95" customHeight="1" x14ac:dyDescent="0.3">
      <c r="A20" s="8">
        <v>17</v>
      </c>
      <c r="B20" s="5" t="s">
        <v>93</v>
      </c>
      <c r="C20" s="5" t="s">
        <v>49</v>
      </c>
      <c r="D20" s="8">
        <v>3300</v>
      </c>
      <c r="E20" s="14">
        <v>5</v>
      </c>
      <c r="F20" s="5" t="s">
        <v>94</v>
      </c>
      <c r="G20" s="5" t="s">
        <v>62</v>
      </c>
      <c r="H20" s="8">
        <v>0</v>
      </c>
    </row>
    <row r="21" spans="1:8" ht="31.95" customHeight="1" x14ac:dyDescent="0.3">
      <c r="A21" s="10">
        <v>18</v>
      </c>
      <c r="B21" s="7" t="s">
        <v>95</v>
      </c>
      <c r="C21" s="7" t="s">
        <v>49</v>
      </c>
      <c r="D21" s="10">
        <v>3000</v>
      </c>
      <c r="E21" s="12">
        <v>3</v>
      </c>
      <c r="F21" s="7" t="s">
        <v>96</v>
      </c>
      <c r="G21" s="7" t="s">
        <v>62</v>
      </c>
      <c r="H21" s="10">
        <v>0</v>
      </c>
    </row>
    <row r="22" spans="1:8" ht="31.95" customHeight="1" x14ac:dyDescent="0.3">
      <c r="A22" s="8">
        <v>19</v>
      </c>
      <c r="B22" s="5" t="s">
        <v>97</v>
      </c>
      <c r="C22" s="5" t="s">
        <v>49</v>
      </c>
      <c r="D22" s="8">
        <v>2800</v>
      </c>
      <c r="E22" s="13">
        <v>4</v>
      </c>
      <c r="F22" s="5" t="s">
        <v>98</v>
      </c>
      <c r="G22" s="5" t="s">
        <v>62</v>
      </c>
      <c r="H22" s="8">
        <v>0</v>
      </c>
    </row>
    <row r="23" spans="1:8" ht="31.95" customHeight="1" x14ac:dyDescent="0.3">
      <c r="A23" s="10">
        <v>20</v>
      </c>
      <c r="B23" s="7" t="s">
        <v>99</v>
      </c>
      <c r="C23" s="7" t="s">
        <v>49</v>
      </c>
      <c r="D23" s="10">
        <v>3000</v>
      </c>
      <c r="E23" s="12">
        <v>3</v>
      </c>
      <c r="F23" s="7" t="s">
        <v>100</v>
      </c>
      <c r="G23" s="7" t="s">
        <v>62</v>
      </c>
      <c r="H23" s="10">
        <v>0</v>
      </c>
    </row>
    <row r="25" spans="1:8" ht="15.6" x14ac:dyDescent="0.3">
      <c r="B25" s="15" t="s">
        <v>101</v>
      </c>
      <c r="D25" s="16">
        <f>SUM(D4:D23)</f>
        <v>61500</v>
      </c>
      <c r="H25" s="16">
        <f>SUM(H4:H23)</f>
        <v>0</v>
      </c>
    </row>
    <row r="26" spans="1:8" ht="15.6" x14ac:dyDescent="0.3">
      <c r="B26" s="17" t="s">
        <v>102</v>
      </c>
      <c r="D26" s="18">
        <f>IFERROR(H25/D25,0)</f>
        <v>0</v>
      </c>
    </row>
  </sheetData>
  <mergeCells count="1">
    <mergeCell ref="A1:H1"/>
  </mergeCells>
  <conditionalFormatting sqref="A4:H23">
    <cfRule type="expression" dxfId="0" priority="1">
      <formula>$G4="Done"</formula>
    </cfRule>
  </conditionalFormatting>
  <dataValidations count="1">
    <dataValidation type="list" allowBlank="1" sqref="G4:G23" xr:uid="{00000000-0002-0000-0100-000000000000}">
      <formula1>"Not started,Outlining,Drafting,Code,Edit,Done"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tabSelected="1" workbookViewId="0">
      <pane ySplit="3" topLeftCell="A4" activePane="bottomLeft" state="frozen"/>
      <selection pane="bottomLeft" activeCell="I3" sqref="I3"/>
    </sheetView>
  </sheetViews>
  <sheetFormatPr defaultRowHeight="14.4" x14ac:dyDescent="0.3"/>
  <cols>
    <col min="1" max="1" width="7" customWidth="1"/>
    <col min="2" max="2" width="12" customWidth="1"/>
    <col min="3" max="3" width="9" customWidth="1"/>
    <col min="4" max="4" width="6" customWidth="1"/>
    <col min="5" max="5" width="8" customWidth="1"/>
    <col min="6" max="6" width="70" customWidth="1"/>
    <col min="7" max="7" width="8" customWidth="1"/>
    <col min="8" max="8" width="9" customWidth="1"/>
  </cols>
  <sheetData>
    <row r="1" spans="1:8" ht="25.95" customHeight="1" x14ac:dyDescent="0.45">
      <c r="A1" s="36" t="s">
        <v>103</v>
      </c>
      <c r="B1" s="33"/>
      <c r="C1" s="33"/>
      <c r="D1" s="33"/>
      <c r="E1" s="33"/>
      <c r="F1" s="33"/>
      <c r="G1" s="33"/>
    </row>
    <row r="3" spans="1:8" x14ac:dyDescent="0.3">
      <c r="A3" s="3" t="s">
        <v>104</v>
      </c>
      <c r="B3" s="3" t="s">
        <v>105</v>
      </c>
      <c r="C3" s="3" t="s">
        <v>13</v>
      </c>
      <c r="D3" s="3" t="s">
        <v>106</v>
      </c>
      <c r="E3" s="3" t="s">
        <v>107</v>
      </c>
      <c r="F3" s="3" t="s">
        <v>108</v>
      </c>
      <c r="G3" s="3" t="s">
        <v>109</v>
      </c>
      <c r="H3" s="3" t="s">
        <v>110</v>
      </c>
    </row>
    <row r="4" spans="1:8" ht="25.95" customHeight="1" x14ac:dyDescent="0.3">
      <c r="A4" s="19">
        <v>1</v>
      </c>
      <c r="B4" s="37">
        <v>46143</v>
      </c>
      <c r="C4" s="20" t="s">
        <v>19</v>
      </c>
      <c r="D4" s="20" t="s">
        <v>119</v>
      </c>
      <c r="E4" s="20" t="s">
        <v>20</v>
      </c>
      <c r="F4" s="20" t="s">
        <v>112</v>
      </c>
      <c r="G4" s="19">
        <v>2</v>
      </c>
      <c r="H4" s="19"/>
    </row>
    <row r="5" spans="1:8" ht="25.95" customHeight="1" x14ac:dyDescent="0.3">
      <c r="A5" s="19">
        <v>2</v>
      </c>
      <c r="B5" s="37">
        <v>46144</v>
      </c>
      <c r="C5" s="20" t="s">
        <v>19</v>
      </c>
      <c r="D5" s="20" t="s">
        <v>121</v>
      </c>
      <c r="E5" s="20" t="s">
        <v>20</v>
      </c>
      <c r="F5" s="20" t="s">
        <v>114</v>
      </c>
      <c r="G5" s="19">
        <v>2</v>
      </c>
      <c r="H5" s="19"/>
    </row>
    <row r="6" spans="1:8" ht="25.95" customHeight="1" x14ac:dyDescent="0.3">
      <c r="A6" s="19">
        <v>3</v>
      </c>
      <c r="B6" s="37">
        <v>46146</v>
      </c>
      <c r="C6" s="20" t="s">
        <v>19</v>
      </c>
      <c r="D6" s="20" t="s">
        <v>111</v>
      </c>
      <c r="E6" s="20" t="s">
        <v>20</v>
      </c>
      <c r="F6" s="20" t="s">
        <v>116</v>
      </c>
      <c r="G6" s="19">
        <v>2</v>
      </c>
      <c r="H6" s="19"/>
    </row>
    <row r="7" spans="1:8" ht="25.95" customHeight="1" x14ac:dyDescent="0.3">
      <c r="A7" s="19">
        <v>4</v>
      </c>
      <c r="B7" s="37">
        <v>46147</v>
      </c>
      <c r="C7" s="20" t="s">
        <v>19</v>
      </c>
      <c r="D7" s="20" t="s">
        <v>113</v>
      </c>
      <c r="E7" s="20" t="s">
        <v>20</v>
      </c>
      <c r="F7" s="20" t="s">
        <v>118</v>
      </c>
      <c r="G7" s="19">
        <v>1</v>
      </c>
      <c r="H7" s="19"/>
    </row>
    <row r="8" spans="1:8" ht="25.95" customHeight="1" x14ac:dyDescent="0.3">
      <c r="A8" s="19">
        <v>5</v>
      </c>
      <c r="B8" s="37">
        <v>46148</v>
      </c>
      <c r="C8" s="20" t="s">
        <v>19</v>
      </c>
      <c r="D8" s="20" t="s">
        <v>115</v>
      </c>
      <c r="E8" s="20" t="s">
        <v>20</v>
      </c>
      <c r="F8" s="20" t="s">
        <v>120</v>
      </c>
      <c r="G8" s="19">
        <v>3</v>
      </c>
      <c r="H8" s="19"/>
    </row>
    <row r="9" spans="1:8" ht="25.95" customHeight="1" x14ac:dyDescent="0.3">
      <c r="A9" s="19">
        <v>6</v>
      </c>
      <c r="B9" s="37">
        <v>46149</v>
      </c>
      <c r="C9" s="20" t="s">
        <v>19</v>
      </c>
      <c r="D9" s="20" t="s">
        <v>117</v>
      </c>
      <c r="E9" s="20" t="s">
        <v>20</v>
      </c>
      <c r="F9" s="20" t="s">
        <v>122</v>
      </c>
      <c r="G9" s="19">
        <v>2</v>
      </c>
      <c r="H9" s="19"/>
    </row>
    <row r="10" spans="1:8" ht="25.95" customHeight="1" x14ac:dyDescent="0.3">
      <c r="A10" s="10">
        <v>7</v>
      </c>
      <c r="B10" s="38">
        <v>46150</v>
      </c>
      <c r="C10" s="7" t="s">
        <v>22</v>
      </c>
      <c r="D10" s="7" t="s">
        <v>119</v>
      </c>
      <c r="E10" s="7" t="s">
        <v>123</v>
      </c>
      <c r="F10" s="7" t="s">
        <v>124</v>
      </c>
      <c r="G10" s="10">
        <v>3</v>
      </c>
      <c r="H10" s="10"/>
    </row>
    <row r="11" spans="1:8" ht="25.95" customHeight="1" x14ac:dyDescent="0.3">
      <c r="A11" s="10">
        <v>8</v>
      </c>
      <c r="B11" s="38">
        <v>46151</v>
      </c>
      <c r="C11" s="7" t="s">
        <v>22</v>
      </c>
      <c r="D11" s="7" t="s">
        <v>121</v>
      </c>
      <c r="E11" s="7" t="s">
        <v>123</v>
      </c>
      <c r="F11" s="7" t="s">
        <v>125</v>
      </c>
      <c r="G11" s="10">
        <v>3</v>
      </c>
      <c r="H11" s="10"/>
    </row>
    <row r="12" spans="1:8" ht="25.95" customHeight="1" x14ac:dyDescent="0.3">
      <c r="A12" s="10">
        <v>9</v>
      </c>
      <c r="B12" s="38">
        <v>46153</v>
      </c>
      <c r="C12" s="7" t="s">
        <v>22</v>
      </c>
      <c r="D12" s="7" t="s">
        <v>111</v>
      </c>
      <c r="E12" s="7" t="s">
        <v>123</v>
      </c>
      <c r="F12" s="7" t="s">
        <v>126</v>
      </c>
      <c r="G12" s="10">
        <v>3</v>
      </c>
      <c r="H12" s="10"/>
    </row>
    <row r="13" spans="1:8" ht="25.95" customHeight="1" x14ac:dyDescent="0.3">
      <c r="A13" s="10">
        <v>10</v>
      </c>
      <c r="B13" s="38">
        <v>46154</v>
      </c>
      <c r="C13" s="7" t="s">
        <v>22</v>
      </c>
      <c r="D13" s="7" t="s">
        <v>113</v>
      </c>
      <c r="E13" s="7" t="s">
        <v>127</v>
      </c>
      <c r="F13" s="7" t="s">
        <v>128</v>
      </c>
      <c r="G13" s="10">
        <v>3</v>
      </c>
      <c r="H13" s="10"/>
    </row>
    <row r="14" spans="1:8" ht="25.95" customHeight="1" x14ac:dyDescent="0.3">
      <c r="A14" s="10">
        <v>11</v>
      </c>
      <c r="B14" s="38">
        <v>46155</v>
      </c>
      <c r="C14" s="7" t="s">
        <v>22</v>
      </c>
      <c r="D14" s="7" t="s">
        <v>115</v>
      </c>
      <c r="E14" s="7" t="s">
        <v>127</v>
      </c>
      <c r="F14" s="7" t="s">
        <v>129</v>
      </c>
      <c r="G14" s="10">
        <v>3</v>
      </c>
      <c r="H14" s="10"/>
    </row>
    <row r="15" spans="1:8" ht="25.95" customHeight="1" x14ac:dyDescent="0.3">
      <c r="A15" s="10">
        <v>12</v>
      </c>
      <c r="B15" s="38">
        <v>46156</v>
      </c>
      <c r="C15" s="7" t="s">
        <v>22</v>
      </c>
      <c r="D15" s="7" t="s">
        <v>117</v>
      </c>
      <c r="E15" s="7" t="s">
        <v>127</v>
      </c>
      <c r="F15" s="7" t="s">
        <v>130</v>
      </c>
      <c r="G15" s="10">
        <v>3</v>
      </c>
      <c r="H15" s="10"/>
    </row>
    <row r="16" spans="1:8" ht="25.95" customHeight="1" x14ac:dyDescent="0.3">
      <c r="A16" s="21">
        <v>13</v>
      </c>
      <c r="B16" s="39">
        <v>46157</v>
      </c>
      <c r="C16" s="22" t="s">
        <v>26</v>
      </c>
      <c r="D16" s="22" t="s">
        <v>119</v>
      </c>
      <c r="E16" s="22" t="s">
        <v>131</v>
      </c>
      <c r="F16" s="22" t="s">
        <v>132</v>
      </c>
      <c r="G16" s="21">
        <v>3</v>
      </c>
      <c r="H16" s="21"/>
    </row>
    <row r="17" spans="1:8" ht="25.95" customHeight="1" x14ac:dyDescent="0.3">
      <c r="A17" s="21">
        <v>14</v>
      </c>
      <c r="B17" s="39">
        <v>46158</v>
      </c>
      <c r="C17" s="22" t="s">
        <v>26</v>
      </c>
      <c r="D17" s="22" t="s">
        <v>121</v>
      </c>
      <c r="E17" s="22" t="s">
        <v>131</v>
      </c>
      <c r="F17" s="22" t="s">
        <v>133</v>
      </c>
      <c r="G17" s="21">
        <v>3</v>
      </c>
      <c r="H17" s="21"/>
    </row>
    <row r="18" spans="1:8" ht="25.95" customHeight="1" x14ac:dyDescent="0.3">
      <c r="A18" s="21">
        <v>15</v>
      </c>
      <c r="B18" s="39">
        <v>46160</v>
      </c>
      <c r="C18" s="22" t="s">
        <v>26</v>
      </c>
      <c r="D18" s="22" t="s">
        <v>111</v>
      </c>
      <c r="E18" s="22" t="s">
        <v>131</v>
      </c>
      <c r="F18" s="22" t="s">
        <v>134</v>
      </c>
      <c r="G18" s="21">
        <v>3</v>
      </c>
      <c r="H18" s="21"/>
    </row>
    <row r="19" spans="1:8" ht="25.95" customHeight="1" x14ac:dyDescent="0.3">
      <c r="A19" s="21">
        <v>16</v>
      </c>
      <c r="B19" s="39">
        <v>46161</v>
      </c>
      <c r="C19" s="22" t="s">
        <v>26</v>
      </c>
      <c r="D19" s="22" t="s">
        <v>113</v>
      </c>
      <c r="E19" s="22" t="s">
        <v>135</v>
      </c>
      <c r="F19" s="22" t="s">
        <v>136</v>
      </c>
      <c r="G19" s="21">
        <v>3</v>
      </c>
      <c r="H19" s="21"/>
    </row>
    <row r="20" spans="1:8" ht="25.95" customHeight="1" x14ac:dyDescent="0.3">
      <c r="A20" s="21">
        <v>17</v>
      </c>
      <c r="B20" s="39">
        <v>46162</v>
      </c>
      <c r="C20" s="22" t="s">
        <v>26</v>
      </c>
      <c r="D20" s="22" t="s">
        <v>115</v>
      </c>
      <c r="E20" s="22" t="s">
        <v>135</v>
      </c>
      <c r="F20" s="22" t="s">
        <v>137</v>
      </c>
      <c r="G20" s="21">
        <v>3</v>
      </c>
      <c r="H20" s="21"/>
    </row>
    <row r="21" spans="1:8" ht="25.95" customHeight="1" x14ac:dyDescent="0.3">
      <c r="A21" s="21">
        <v>18</v>
      </c>
      <c r="B21" s="39">
        <v>46163</v>
      </c>
      <c r="C21" s="22" t="s">
        <v>26</v>
      </c>
      <c r="D21" s="22" t="s">
        <v>117</v>
      </c>
      <c r="E21" s="22" t="s">
        <v>135</v>
      </c>
      <c r="F21" s="22" t="s">
        <v>138</v>
      </c>
      <c r="G21" s="21">
        <v>3</v>
      </c>
      <c r="H21" s="21"/>
    </row>
    <row r="22" spans="1:8" ht="25.95" customHeight="1" x14ac:dyDescent="0.3">
      <c r="A22" s="10">
        <v>19</v>
      </c>
      <c r="B22" s="38">
        <v>46164</v>
      </c>
      <c r="C22" s="7" t="s">
        <v>30</v>
      </c>
      <c r="D22" s="7" t="s">
        <v>119</v>
      </c>
      <c r="E22" s="7" t="s">
        <v>139</v>
      </c>
      <c r="F22" s="7" t="s">
        <v>140</v>
      </c>
      <c r="G22" s="10">
        <v>3</v>
      </c>
      <c r="H22" s="10"/>
    </row>
    <row r="23" spans="1:8" ht="25.95" customHeight="1" x14ac:dyDescent="0.3">
      <c r="A23" s="10">
        <v>20</v>
      </c>
      <c r="B23" s="38">
        <v>46165</v>
      </c>
      <c r="C23" s="7" t="s">
        <v>30</v>
      </c>
      <c r="D23" s="7" t="s">
        <v>121</v>
      </c>
      <c r="E23" s="7" t="s">
        <v>139</v>
      </c>
      <c r="F23" s="7" t="s">
        <v>141</v>
      </c>
      <c r="G23" s="10">
        <v>3</v>
      </c>
      <c r="H23" s="10"/>
    </row>
    <row r="24" spans="1:8" ht="25.95" customHeight="1" x14ac:dyDescent="0.3">
      <c r="A24" s="10">
        <v>21</v>
      </c>
      <c r="B24" s="38">
        <v>46167</v>
      </c>
      <c r="C24" s="7" t="s">
        <v>30</v>
      </c>
      <c r="D24" s="7" t="s">
        <v>111</v>
      </c>
      <c r="E24" s="7" t="s">
        <v>139</v>
      </c>
      <c r="F24" s="7" t="s">
        <v>142</v>
      </c>
      <c r="G24" s="10">
        <v>3</v>
      </c>
      <c r="H24" s="10"/>
    </row>
    <row r="25" spans="1:8" ht="25.95" customHeight="1" x14ac:dyDescent="0.3">
      <c r="A25" s="10">
        <v>22</v>
      </c>
      <c r="B25" s="38">
        <v>46168</v>
      </c>
      <c r="C25" s="7" t="s">
        <v>30</v>
      </c>
      <c r="D25" s="7" t="s">
        <v>113</v>
      </c>
      <c r="E25" s="7" t="s">
        <v>143</v>
      </c>
      <c r="F25" s="7" t="s">
        <v>144</v>
      </c>
      <c r="G25" s="10">
        <v>3</v>
      </c>
      <c r="H25" s="10"/>
    </row>
    <row r="26" spans="1:8" ht="25.95" customHeight="1" x14ac:dyDescent="0.3">
      <c r="A26" s="10">
        <v>23</v>
      </c>
      <c r="B26" s="38">
        <v>46169</v>
      </c>
      <c r="C26" s="7" t="s">
        <v>30</v>
      </c>
      <c r="D26" s="7" t="s">
        <v>115</v>
      </c>
      <c r="E26" s="7" t="s">
        <v>143</v>
      </c>
      <c r="F26" s="7" t="s">
        <v>145</v>
      </c>
      <c r="G26" s="10">
        <v>3</v>
      </c>
      <c r="H26" s="10"/>
    </row>
    <row r="27" spans="1:8" ht="25.95" customHeight="1" x14ac:dyDescent="0.3">
      <c r="A27" s="10">
        <v>24</v>
      </c>
      <c r="B27" s="38">
        <v>46170</v>
      </c>
      <c r="C27" s="7" t="s">
        <v>30</v>
      </c>
      <c r="D27" s="7" t="s">
        <v>117</v>
      </c>
      <c r="E27" s="7" t="s">
        <v>143</v>
      </c>
      <c r="F27" s="7" t="s">
        <v>146</v>
      </c>
      <c r="G27" s="10">
        <v>3</v>
      </c>
      <c r="H27" s="10"/>
    </row>
    <row r="28" spans="1:8" ht="25.95" customHeight="1" x14ac:dyDescent="0.3">
      <c r="A28" s="21">
        <v>25</v>
      </c>
      <c r="B28" s="39">
        <v>46171</v>
      </c>
      <c r="C28" s="22" t="s">
        <v>34</v>
      </c>
      <c r="D28" s="22" t="s">
        <v>119</v>
      </c>
      <c r="E28" s="22" t="s">
        <v>147</v>
      </c>
      <c r="F28" s="22" t="s">
        <v>148</v>
      </c>
      <c r="G28" s="21">
        <v>3</v>
      </c>
      <c r="H28" s="21"/>
    </row>
    <row r="29" spans="1:8" ht="25.95" customHeight="1" x14ac:dyDescent="0.3">
      <c r="A29" s="21">
        <v>26</v>
      </c>
      <c r="B29" s="39">
        <v>46172</v>
      </c>
      <c r="C29" s="22" t="s">
        <v>34</v>
      </c>
      <c r="D29" s="22" t="s">
        <v>121</v>
      </c>
      <c r="E29" s="22" t="s">
        <v>147</v>
      </c>
      <c r="F29" s="22" t="s">
        <v>149</v>
      </c>
      <c r="G29" s="21">
        <v>3</v>
      </c>
      <c r="H29" s="21"/>
    </row>
    <row r="30" spans="1:8" ht="25.95" customHeight="1" x14ac:dyDescent="0.3">
      <c r="A30" s="21">
        <v>27</v>
      </c>
      <c r="B30" s="39">
        <v>46174</v>
      </c>
      <c r="C30" s="22" t="s">
        <v>34</v>
      </c>
      <c r="D30" s="22" t="s">
        <v>111</v>
      </c>
      <c r="E30" s="22" t="s">
        <v>147</v>
      </c>
      <c r="F30" s="22" t="s">
        <v>150</v>
      </c>
      <c r="G30" s="21">
        <v>3</v>
      </c>
      <c r="H30" s="21"/>
    </row>
    <row r="31" spans="1:8" ht="25.95" customHeight="1" x14ac:dyDescent="0.3">
      <c r="A31" s="21">
        <v>28</v>
      </c>
      <c r="B31" s="39">
        <v>46175</v>
      </c>
      <c r="C31" s="22" t="s">
        <v>34</v>
      </c>
      <c r="D31" s="22" t="s">
        <v>113</v>
      </c>
      <c r="E31" s="22" t="s">
        <v>151</v>
      </c>
      <c r="F31" s="22" t="s">
        <v>152</v>
      </c>
      <c r="G31" s="21">
        <v>3</v>
      </c>
      <c r="H31" s="21"/>
    </row>
    <row r="32" spans="1:8" ht="25.95" customHeight="1" x14ac:dyDescent="0.3">
      <c r="A32" s="21">
        <v>29</v>
      </c>
      <c r="B32" s="39">
        <v>46176</v>
      </c>
      <c r="C32" s="22" t="s">
        <v>34</v>
      </c>
      <c r="D32" s="22" t="s">
        <v>115</v>
      </c>
      <c r="E32" s="22" t="s">
        <v>151</v>
      </c>
      <c r="F32" s="22" t="s">
        <v>153</v>
      </c>
      <c r="G32" s="21">
        <v>3</v>
      </c>
      <c r="H32" s="21"/>
    </row>
    <row r="33" spans="1:8" ht="25.95" customHeight="1" x14ac:dyDescent="0.3">
      <c r="A33" s="21">
        <v>30</v>
      </c>
      <c r="B33" s="39">
        <v>46177</v>
      </c>
      <c r="C33" s="22" t="s">
        <v>34</v>
      </c>
      <c r="D33" s="22" t="s">
        <v>117</v>
      </c>
      <c r="E33" s="22" t="s">
        <v>151</v>
      </c>
      <c r="F33" s="22" t="s">
        <v>154</v>
      </c>
      <c r="G33" s="21">
        <v>4</v>
      </c>
      <c r="H33" s="21"/>
    </row>
    <row r="34" spans="1:8" ht="25.95" customHeight="1" x14ac:dyDescent="0.3">
      <c r="A34" s="10">
        <v>31</v>
      </c>
      <c r="B34" s="38">
        <v>46178</v>
      </c>
      <c r="C34" s="7" t="s">
        <v>38</v>
      </c>
      <c r="D34" s="7" t="s">
        <v>119</v>
      </c>
      <c r="E34" s="23" t="s">
        <v>155</v>
      </c>
      <c r="F34" s="7" t="s">
        <v>156</v>
      </c>
      <c r="G34" s="10">
        <v>3</v>
      </c>
      <c r="H34" s="10"/>
    </row>
    <row r="35" spans="1:8" ht="25.95" customHeight="1" x14ac:dyDescent="0.3">
      <c r="A35" s="10">
        <v>32</v>
      </c>
      <c r="B35" s="38">
        <v>46179</v>
      </c>
      <c r="C35" s="7" t="s">
        <v>38</v>
      </c>
      <c r="D35" s="7" t="s">
        <v>121</v>
      </c>
      <c r="E35" s="23" t="s">
        <v>155</v>
      </c>
      <c r="F35" s="7" t="s">
        <v>157</v>
      </c>
      <c r="G35" s="10">
        <v>3</v>
      </c>
      <c r="H35" s="10"/>
    </row>
    <row r="36" spans="1:8" ht="25.95" customHeight="1" x14ac:dyDescent="0.3">
      <c r="A36" s="10">
        <v>33</v>
      </c>
      <c r="B36" s="38">
        <v>46181</v>
      </c>
      <c r="C36" s="7" t="s">
        <v>38</v>
      </c>
      <c r="D36" s="7" t="s">
        <v>111</v>
      </c>
      <c r="E36" s="23" t="s">
        <v>155</v>
      </c>
      <c r="F36" s="7" t="s">
        <v>158</v>
      </c>
      <c r="G36" s="10">
        <v>3</v>
      </c>
      <c r="H36" s="10"/>
    </row>
    <row r="37" spans="1:8" ht="25.95" customHeight="1" x14ac:dyDescent="0.3">
      <c r="A37" s="10">
        <v>34</v>
      </c>
      <c r="B37" s="38">
        <v>46182</v>
      </c>
      <c r="C37" s="7" t="s">
        <v>38</v>
      </c>
      <c r="D37" s="7" t="s">
        <v>113</v>
      </c>
      <c r="E37" s="23" t="s">
        <v>159</v>
      </c>
      <c r="F37" s="7" t="s">
        <v>160</v>
      </c>
      <c r="G37" s="10">
        <v>3</v>
      </c>
      <c r="H37" s="10"/>
    </row>
    <row r="38" spans="1:8" ht="25.95" customHeight="1" x14ac:dyDescent="0.3">
      <c r="A38" s="10">
        <v>35</v>
      </c>
      <c r="B38" s="38">
        <v>46183</v>
      </c>
      <c r="C38" s="7" t="s">
        <v>38</v>
      </c>
      <c r="D38" s="7" t="s">
        <v>115</v>
      </c>
      <c r="E38" s="23" t="s">
        <v>159</v>
      </c>
      <c r="F38" s="7" t="s">
        <v>161</v>
      </c>
      <c r="G38" s="10">
        <v>3</v>
      </c>
      <c r="H38" s="10"/>
    </row>
    <row r="39" spans="1:8" ht="25.95" customHeight="1" x14ac:dyDescent="0.3">
      <c r="A39" s="10">
        <v>36</v>
      </c>
      <c r="B39" s="38">
        <v>46184</v>
      </c>
      <c r="C39" s="7" t="s">
        <v>38</v>
      </c>
      <c r="D39" s="7" t="s">
        <v>117</v>
      </c>
      <c r="E39" s="23" t="s">
        <v>159</v>
      </c>
      <c r="F39" s="7" t="s">
        <v>162</v>
      </c>
      <c r="G39" s="10">
        <v>3</v>
      </c>
      <c r="H39" s="10"/>
    </row>
    <row r="40" spans="1:8" ht="25.95" customHeight="1" x14ac:dyDescent="0.3">
      <c r="A40" s="21">
        <v>37</v>
      </c>
      <c r="B40" s="39">
        <v>46185</v>
      </c>
      <c r="C40" s="22" t="s">
        <v>42</v>
      </c>
      <c r="D40" s="22" t="s">
        <v>119</v>
      </c>
      <c r="E40" s="22" t="s">
        <v>163</v>
      </c>
      <c r="F40" s="22" t="s">
        <v>164</v>
      </c>
      <c r="G40" s="21">
        <v>3</v>
      </c>
      <c r="H40" s="21"/>
    </row>
    <row r="41" spans="1:8" ht="25.95" customHeight="1" x14ac:dyDescent="0.3">
      <c r="A41" s="21">
        <v>38</v>
      </c>
      <c r="B41" s="39">
        <v>46186</v>
      </c>
      <c r="C41" s="22" t="s">
        <v>42</v>
      </c>
      <c r="D41" s="22" t="s">
        <v>121</v>
      </c>
      <c r="E41" s="22" t="s">
        <v>163</v>
      </c>
      <c r="F41" s="22" t="s">
        <v>165</v>
      </c>
      <c r="G41" s="21">
        <v>3</v>
      </c>
      <c r="H41" s="21"/>
    </row>
    <row r="42" spans="1:8" ht="25.95" customHeight="1" x14ac:dyDescent="0.3">
      <c r="A42" s="21">
        <v>39</v>
      </c>
      <c r="B42" s="39">
        <v>46188</v>
      </c>
      <c r="C42" s="22" t="s">
        <v>42</v>
      </c>
      <c r="D42" s="22" t="s">
        <v>111</v>
      </c>
      <c r="E42" s="23" t="s">
        <v>166</v>
      </c>
      <c r="F42" s="22" t="s">
        <v>167</v>
      </c>
      <c r="G42" s="21">
        <v>4</v>
      </c>
      <c r="H42" s="21"/>
    </row>
    <row r="43" spans="1:8" ht="25.95" customHeight="1" x14ac:dyDescent="0.3">
      <c r="A43" s="21">
        <v>40</v>
      </c>
      <c r="B43" s="39">
        <v>46189</v>
      </c>
      <c r="C43" s="22" t="s">
        <v>42</v>
      </c>
      <c r="D43" s="22" t="s">
        <v>113</v>
      </c>
      <c r="E43" s="23" t="s">
        <v>166</v>
      </c>
      <c r="F43" s="22" t="s">
        <v>168</v>
      </c>
      <c r="G43" s="21">
        <v>4</v>
      </c>
      <c r="H43" s="21"/>
    </row>
    <row r="44" spans="1:8" ht="25.95" customHeight="1" x14ac:dyDescent="0.3">
      <c r="A44" s="21">
        <v>41</v>
      </c>
      <c r="B44" s="39">
        <v>46190</v>
      </c>
      <c r="C44" s="22" t="s">
        <v>42</v>
      </c>
      <c r="D44" s="22" t="s">
        <v>115</v>
      </c>
      <c r="E44" s="22" t="s">
        <v>169</v>
      </c>
      <c r="F44" s="22" t="s">
        <v>170</v>
      </c>
      <c r="G44" s="21">
        <v>3</v>
      </c>
      <c r="H44" s="21"/>
    </row>
    <row r="45" spans="1:8" ht="25.95" customHeight="1" x14ac:dyDescent="0.3">
      <c r="A45" s="21">
        <v>42</v>
      </c>
      <c r="B45" s="39">
        <v>46191</v>
      </c>
      <c r="C45" s="22" t="s">
        <v>42</v>
      </c>
      <c r="D45" s="22" t="s">
        <v>117</v>
      </c>
      <c r="E45" s="22" t="s">
        <v>169</v>
      </c>
      <c r="F45" s="22" t="s">
        <v>171</v>
      </c>
      <c r="G45" s="21">
        <v>3</v>
      </c>
      <c r="H45" s="21"/>
    </row>
    <row r="46" spans="1:8" ht="25.95" customHeight="1" x14ac:dyDescent="0.3">
      <c r="A46" s="10">
        <v>43</v>
      </c>
      <c r="B46" s="38">
        <v>46192</v>
      </c>
      <c r="C46" s="7" t="s">
        <v>46</v>
      </c>
      <c r="D46" s="7" t="s">
        <v>119</v>
      </c>
      <c r="E46" s="7" t="s">
        <v>172</v>
      </c>
      <c r="F46" s="7" t="s">
        <v>173</v>
      </c>
      <c r="G46" s="10">
        <v>3</v>
      </c>
      <c r="H46" s="10"/>
    </row>
    <row r="47" spans="1:8" ht="25.95" customHeight="1" x14ac:dyDescent="0.3">
      <c r="A47" s="10">
        <v>44</v>
      </c>
      <c r="B47" s="38">
        <v>46193</v>
      </c>
      <c r="C47" s="7" t="s">
        <v>46</v>
      </c>
      <c r="D47" s="7" t="s">
        <v>121</v>
      </c>
      <c r="E47" s="7" t="s">
        <v>172</v>
      </c>
      <c r="F47" s="7" t="s">
        <v>174</v>
      </c>
      <c r="G47" s="10">
        <v>3</v>
      </c>
      <c r="H47" s="10"/>
    </row>
    <row r="48" spans="1:8" ht="25.95" customHeight="1" x14ac:dyDescent="0.3">
      <c r="A48" s="10">
        <v>45</v>
      </c>
      <c r="B48" s="38">
        <v>46195</v>
      </c>
      <c r="C48" s="7" t="s">
        <v>46</v>
      </c>
      <c r="D48" s="7" t="s">
        <v>111</v>
      </c>
      <c r="E48" s="23" t="s">
        <v>175</v>
      </c>
      <c r="F48" s="7" t="s">
        <v>176</v>
      </c>
      <c r="G48" s="10">
        <v>3</v>
      </c>
      <c r="H48" s="10"/>
    </row>
    <row r="49" spans="1:8" ht="25.95" customHeight="1" x14ac:dyDescent="0.3">
      <c r="A49" s="10">
        <v>46</v>
      </c>
      <c r="B49" s="38">
        <v>46196</v>
      </c>
      <c r="C49" s="7" t="s">
        <v>46</v>
      </c>
      <c r="D49" s="7" t="s">
        <v>113</v>
      </c>
      <c r="E49" s="23" t="s">
        <v>175</v>
      </c>
      <c r="F49" s="7" t="s">
        <v>177</v>
      </c>
      <c r="G49" s="10">
        <v>3</v>
      </c>
      <c r="H49" s="10"/>
    </row>
    <row r="50" spans="1:8" ht="25.95" customHeight="1" x14ac:dyDescent="0.3">
      <c r="A50" s="10">
        <v>47</v>
      </c>
      <c r="B50" s="38">
        <v>46197</v>
      </c>
      <c r="C50" s="7" t="s">
        <v>46</v>
      </c>
      <c r="D50" s="7" t="s">
        <v>115</v>
      </c>
      <c r="E50" s="23" t="s">
        <v>178</v>
      </c>
      <c r="F50" s="7" t="s">
        <v>179</v>
      </c>
      <c r="G50" s="10">
        <v>4</v>
      </c>
      <c r="H50" s="10"/>
    </row>
    <row r="51" spans="1:8" ht="25.95" customHeight="1" x14ac:dyDescent="0.3">
      <c r="A51" s="10">
        <v>48</v>
      </c>
      <c r="B51" s="38">
        <v>46198</v>
      </c>
      <c r="C51" s="7" t="s">
        <v>46</v>
      </c>
      <c r="D51" s="7" t="s">
        <v>117</v>
      </c>
      <c r="E51" s="23" t="s">
        <v>178</v>
      </c>
      <c r="F51" s="7" t="s">
        <v>180</v>
      </c>
      <c r="G51" s="10">
        <v>4</v>
      </c>
      <c r="H51" s="10"/>
    </row>
    <row r="52" spans="1:8" ht="25.95" customHeight="1" x14ac:dyDescent="0.3">
      <c r="A52" s="21">
        <v>49</v>
      </c>
      <c r="B52" s="39">
        <v>46199</v>
      </c>
      <c r="C52" s="22" t="s">
        <v>49</v>
      </c>
      <c r="D52" s="22" t="s">
        <v>119</v>
      </c>
      <c r="E52" s="23" t="s">
        <v>181</v>
      </c>
      <c r="F52" s="22" t="s">
        <v>182</v>
      </c>
      <c r="G52" s="21">
        <v>4</v>
      </c>
      <c r="H52" s="21"/>
    </row>
    <row r="53" spans="1:8" ht="25.95" customHeight="1" x14ac:dyDescent="0.3">
      <c r="A53" s="21">
        <v>50</v>
      </c>
      <c r="B53" s="39">
        <v>46200</v>
      </c>
      <c r="C53" s="22" t="s">
        <v>49</v>
      </c>
      <c r="D53" s="22" t="s">
        <v>121</v>
      </c>
      <c r="E53" s="23" t="s">
        <v>181</v>
      </c>
      <c r="F53" s="22" t="s">
        <v>183</v>
      </c>
      <c r="G53" s="21">
        <v>4</v>
      </c>
      <c r="H53" s="21"/>
    </row>
    <row r="54" spans="1:8" ht="25.95" customHeight="1" x14ac:dyDescent="0.3">
      <c r="A54" s="21">
        <v>51</v>
      </c>
      <c r="B54" s="39">
        <v>46202</v>
      </c>
      <c r="C54" s="22" t="s">
        <v>49</v>
      </c>
      <c r="D54" s="22" t="s">
        <v>111</v>
      </c>
      <c r="E54" s="22" t="s">
        <v>184</v>
      </c>
      <c r="F54" s="22" t="s">
        <v>185</v>
      </c>
      <c r="G54" s="21">
        <v>4</v>
      </c>
      <c r="H54" s="21"/>
    </row>
    <row r="55" spans="1:8" ht="25.95" customHeight="1" x14ac:dyDescent="0.3">
      <c r="A55" s="21">
        <v>52</v>
      </c>
      <c r="B55" s="39">
        <v>46203</v>
      </c>
      <c r="C55" s="22" t="s">
        <v>49</v>
      </c>
      <c r="D55" s="22" t="s">
        <v>113</v>
      </c>
      <c r="E55" s="23" t="s">
        <v>186</v>
      </c>
      <c r="F55" s="22" t="s">
        <v>187</v>
      </c>
      <c r="G55" s="21">
        <v>4</v>
      </c>
      <c r="H55" s="21"/>
    </row>
    <row r="56" spans="1:8" ht="25.95" customHeight="1" x14ac:dyDescent="0.3">
      <c r="A56" s="21">
        <v>53</v>
      </c>
      <c r="B56" s="39">
        <v>46204</v>
      </c>
      <c r="C56" s="22" t="s">
        <v>49</v>
      </c>
      <c r="D56" s="22" t="s">
        <v>115</v>
      </c>
      <c r="E56" s="22" t="s">
        <v>188</v>
      </c>
      <c r="F56" s="22" t="s">
        <v>189</v>
      </c>
      <c r="G56" s="21">
        <v>4</v>
      </c>
      <c r="H56" s="21"/>
    </row>
    <row r="57" spans="1:8" ht="25.95" customHeight="1" x14ac:dyDescent="0.3">
      <c r="A57" s="21">
        <v>54</v>
      </c>
      <c r="B57" s="39">
        <v>46205</v>
      </c>
      <c r="C57" s="22" t="s">
        <v>49</v>
      </c>
      <c r="D57" s="22" t="s">
        <v>117</v>
      </c>
      <c r="E57" s="22" t="s">
        <v>20</v>
      </c>
      <c r="F57" s="22" t="s">
        <v>190</v>
      </c>
      <c r="G57" s="21">
        <v>5</v>
      </c>
      <c r="H57" s="21"/>
    </row>
  </sheetData>
  <mergeCells count="1">
    <mergeCell ref="A1:G1"/>
  </mergeCells>
  <dataValidations count="1">
    <dataValidation type="list" allowBlank="1" sqref="H4:H57" xr:uid="{00000000-0002-0000-0200-000000000000}">
      <formula1>"☐,☑"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sqref="A1:C1"/>
    </sheetView>
  </sheetViews>
  <sheetFormatPr defaultRowHeight="14.4" x14ac:dyDescent="0.3"/>
  <cols>
    <col min="1" max="1" width="24" customWidth="1"/>
    <col min="2" max="2" width="40" customWidth="1"/>
    <col min="3" max="3" width="65" customWidth="1"/>
  </cols>
  <sheetData>
    <row r="1" spans="1:3" ht="23.4" x14ac:dyDescent="0.45">
      <c r="A1" s="36" t="s">
        <v>191</v>
      </c>
      <c r="B1" s="33"/>
      <c r="C1" s="33"/>
    </row>
    <row r="3" spans="1:3" x14ac:dyDescent="0.3">
      <c r="A3" s="3" t="s">
        <v>192</v>
      </c>
      <c r="B3" s="3" t="s">
        <v>108</v>
      </c>
      <c r="C3" s="3" t="s">
        <v>193</v>
      </c>
    </row>
    <row r="4" spans="1:3" ht="31.95" customHeight="1" x14ac:dyDescent="0.3">
      <c r="A4" s="24" t="s">
        <v>194</v>
      </c>
      <c r="B4" s="5" t="s">
        <v>195</v>
      </c>
      <c r="C4" s="5" t="s">
        <v>196</v>
      </c>
    </row>
    <row r="5" spans="1:3" ht="31.95" customHeight="1" x14ac:dyDescent="0.3">
      <c r="A5" s="25" t="s">
        <v>197</v>
      </c>
      <c r="B5" s="7" t="s">
        <v>198</v>
      </c>
      <c r="C5" s="7" t="s">
        <v>199</v>
      </c>
    </row>
    <row r="6" spans="1:3" ht="31.95" customHeight="1" x14ac:dyDescent="0.3">
      <c r="A6" s="24" t="s">
        <v>200</v>
      </c>
      <c r="B6" s="5" t="s">
        <v>201</v>
      </c>
      <c r="C6" s="5" t="s">
        <v>202</v>
      </c>
    </row>
    <row r="7" spans="1:3" ht="31.95" customHeight="1" x14ac:dyDescent="0.3">
      <c r="A7" s="25"/>
      <c r="B7" s="7"/>
      <c r="C7" s="7"/>
    </row>
    <row r="8" spans="1:3" ht="31.95" customHeight="1" x14ac:dyDescent="0.3">
      <c r="A8" s="24" t="s">
        <v>203</v>
      </c>
      <c r="B8" s="5" t="s">
        <v>204</v>
      </c>
      <c r="C8" s="5" t="s">
        <v>205</v>
      </c>
    </row>
    <row r="9" spans="1:3" ht="31.95" customHeight="1" x14ac:dyDescent="0.3">
      <c r="A9" s="25" t="s">
        <v>206</v>
      </c>
      <c r="B9" s="7" t="s">
        <v>207</v>
      </c>
      <c r="C9" s="7" t="s">
        <v>208</v>
      </c>
    </row>
    <row r="10" spans="1:3" ht="31.95" customHeight="1" x14ac:dyDescent="0.3">
      <c r="A10" s="24" t="s">
        <v>209</v>
      </c>
      <c r="B10" s="5" t="s">
        <v>210</v>
      </c>
      <c r="C10" s="5" t="s">
        <v>211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selection sqref="A1:C1"/>
    </sheetView>
  </sheetViews>
  <sheetFormatPr defaultRowHeight="14.4" x14ac:dyDescent="0.3"/>
  <cols>
    <col min="1" max="1" width="50" customWidth="1"/>
    <col min="2" max="2" width="60" customWidth="1"/>
    <col min="3" max="3" width="45" customWidth="1"/>
  </cols>
  <sheetData>
    <row r="1" spans="1:3" ht="23.4" x14ac:dyDescent="0.45">
      <c r="A1" s="36" t="s">
        <v>212</v>
      </c>
      <c r="B1" s="33"/>
      <c r="C1" s="33"/>
    </row>
    <row r="3" spans="1:3" x14ac:dyDescent="0.3">
      <c r="A3" s="3" t="s">
        <v>213</v>
      </c>
      <c r="B3" s="3" t="s">
        <v>214</v>
      </c>
      <c r="C3" s="3" t="s">
        <v>215</v>
      </c>
    </row>
    <row r="4" spans="1:3" ht="49.95" customHeight="1" x14ac:dyDescent="0.3">
      <c r="A4" s="26" t="s">
        <v>216</v>
      </c>
      <c r="B4" s="20" t="s">
        <v>217</v>
      </c>
      <c r="C4" s="20" t="s">
        <v>218</v>
      </c>
    </row>
    <row r="5" spans="1:3" ht="49.95" customHeight="1" x14ac:dyDescent="0.3">
      <c r="A5" s="25" t="s">
        <v>219</v>
      </c>
      <c r="B5" s="7" t="s">
        <v>220</v>
      </c>
      <c r="C5" s="7" t="s">
        <v>221</v>
      </c>
    </row>
    <row r="6" spans="1:3" ht="49.95" customHeight="1" x14ac:dyDescent="0.3">
      <c r="A6" s="26" t="s">
        <v>222</v>
      </c>
      <c r="B6" s="20" t="s">
        <v>223</v>
      </c>
      <c r="C6" s="20" t="s">
        <v>224</v>
      </c>
    </row>
    <row r="7" spans="1:3" ht="49.95" customHeight="1" x14ac:dyDescent="0.3">
      <c r="A7" s="25" t="s">
        <v>225</v>
      </c>
      <c r="B7" s="7" t="s">
        <v>226</v>
      </c>
      <c r="C7" s="7" t="s">
        <v>227</v>
      </c>
    </row>
    <row r="8" spans="1:3" ht="49.95" customHeight="1" x14ac:dyDescent="0.3">
      <c r="A8" s="26" t="s">
        <v>228</v>
      </c>
      <c r="B8" s="20" t="s">
        <v>229</v>
      </c>
      <c r="C8" s="20" t="s">
        <v>230</v>
      </c>
    </row>
    <row r="9" spans="1:3" ht="49.95" customHeight="1" x14ac:dyDescent="0.3">
      <c r="A9" s="25" t="s">
        <v>231</v>
      </c>
      <c r="B9" s="7" t="s">
        <v>232</v>
      </c>
      <c r="C9" s="7" t="s">
        <v>233</v>
      </c>
    </row>
    <row r="10" spans="1:3" ht="49.95" customHeight="1" x14ac:dyDescent="0.3">
      <c r="A10" s="26" t="s">
        <v>234</v>
      </c>
      <c r="B10" s="20" t="s">
        <v>235</v>
      </c>
      <c r="C10" s="20" t="s">
        <v>236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7"/>
  <sheetViews>
    <sheetView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14" customWidth="1"/>
    <col min="2" max="2" width="8" customWidth="1"/>
    <col min="3" max="4" width="16" customWidth="1"/>
    <col min="5" max="5" width="50" customWidth="1"/>
  </cols>
  <sheetData>
    <row r="1" spans="1:7" ht="23.4" x14ac:dyDescent="0.45">
      <c r="A1" s="36" t="s">
        <v>237</v>
      </c>
      <c r="B1" s="33"/>
      <c r="C1" s="33"/>
      <c r="D1" s="33"/>
      <c r="E1" s="33"/>
    </row>
    <row r="3" spans="1:7" x14ac:dyDescent="0.3">
      <c r="A3" s="3" t="s">
        <v>105</v>
      </c>
      <c r="B3" s="3" t="s">
        <v>106</v>
      </c>
      <c r="C3" s="3" t="s">
        <v>238</v>
      </c>
      <c r="D3" s="3" t="s">
        <v>239</v>
      </c>
      <c r="E3" s="3" t="s">
        <v>18</v>
      </c>
      <c r="F3" s="27" t="s">
        <v>240</v>
      </c>
      <c r="G3" s="28">
        <v>61500</v>
      </c>
    </row>
    <row r="4" spans="1:7" x14ac:dyDescent="0.3">
      <c r="A4" s="40">
        <v>46143</v>
      </c>
      <c r="B4" s="5" t="s">
        <v>119</v>
      </c>
      <c r="C4" s="29"/>
      <c r="D4" s="29">
        <f>C4</f>
        <v>0</v>
      </c>
      <c r="E4" s="5"/>
      <c r="F4" s="30" t="s">
        <v>241</v>
      </c>
      <c r="G4" s="18">
        <f>IFERROR(D57/G3, 0)</f>
        <v>0</v>
      </c>
    </row>
    <row r="5" spans="1:7" x14ac:dyDescent="0.3">
      <c r="A5" s="40">
        <v>46144</v>
      </c>
      <c r="B5" s="5" t="s">
        <v>121</v>
      </c>
      <c r="C5" s="29"/>
      <c r="D5" s="29">
        <f t="shared" ref="D5:D36" si="0">D4+C5</f>
        <v>0</v>
      </c>
      <c r="E5" s="5"/>
    </row>
    <row r="6" spans="1:7" x14ac:dyDescent="0.3">
      <c r="A6" s="40">
        <v>46146</v>
      </c>
      <c r="B6" s="5" t="s">
        <v>111</v>
      </c>
      <c r="C6" s="29"/>
      <c r="D6" s="29">
        <f t="shared" si="0"/>
        <v>0</v>
      </c>
      <c r="E6" s="5"/>
    </row>
    <row r="7" spans="1:7" x14ac:dyDescent="0.3">
      <c r="A7" s="40">
        <v>46147</v>
      </c>
      <c r="B7" s="5" t="s">
        <v>113</v>
      </c>
      <c r="C7" s="29"/>
      <c r="D7" s="29">
        <f t="shared" si="0"/>
        <v>0</v>
      </c>
      <c r="E7" s="5"/>
    </row>
    <row r="8" spans="1:7" x14ac:dyDescent="0.3">
      <c r="A8" s="40">
        <v>46148</v>
      </c>
      <c r="B8" s="5" t="s">
        <v>115</v>
      </c>
      <c r="C8" s="29"/>
      <c r="D8" s="29">
        <f t="shared" si="0"/>
        <v>0</v>
      </c>
      <c r="E8" s="5"/>
    </row>
    <row r="9" spans="1:7" x14ac:dyDescent="0.3">
      <c r="A9" s="40">
        <v>46149</v>
      </c>
      <c r="B9" s="5" t="s">
        <v>117</v>
      </c>
      <c r="C9" s="29"/>
      <c r="D9" s="29">
        <f t="shared" si="0"/>
        <v>0</v>
      </c>
      <c r="E9" s="5"/>
    </row>
    <row r="10" spans="1:7" x14ac:dyDescent="0.3">
      <c r="A10" s="38">
        <v>46150</v>
      </c>
      <c r="B10" s="7" t="s">
        <v>119</v>
      </c>
      <c r="C10" s="31"/>
      <c r="D10" s="31">
        <f t="shared" si="0"/>
        <v>0</v>
      </c>
      <c r="E10" s="7"/>
    </row>
    <row r="11" spans="1:7" x14ac:dyDescent="0.3">
      <c r="A11" s="38">
        <v>46151</v>
      </c>
      <c r="B11" s="7" t="s">
        <v>121</v>
      </c>
      <c r="C11" s="31"/>
      <c r="D11" s="31">
        <f t="shared" si="0"/>
        <v>0</v>
      </c>
      <c r="E11" s="7"/>
    </row>
    <row r="12" spans="1:7" x14ac:dyDescent="0.3">
      <c r="A12" s="38">
        <v>46153</v>
      </c>
      <c r="B12" s="7" t="s">
        <v>111</v>
      </c>
      <c r="C12" s="31"/>
      <c r="D12" s="31">
        <f t="shared" si="0"/>
        <v>0</v>
      </c>
      <c r="E12" s="7"/>
    </row>
    <row r="13" spans="1:7" x14ac:dyDescent="0.3">
      <c r="A13" s="38">
        <v>46154</v>
      </c>
      <c r="B13" s="7" t="s">
        <v>113</v>
      </c>
      <c r="C13" s="31"/>
      <c r="D13" s="31">
        <f t="shared" si="0"/>
        <v>0</v>
      </c>
      <c r="E13" s="7"/>
    </row>
    <row r="14" spans="1:7" x14ac:dyDescent="0.3">
      <c r="A14" s="38">
        <v>46155</v>
      </c>
      <c r="B14" s="7" t="s">
        <v>115</v>
      </c>
      <c r="C14" s="31"/>
      <c r="D14" s="31">
        <f t="shared" si="0"/>
        <v>0</v>
      </c>
      <c r="E14" s="7"/>
    </row>
    <row r="15" spans="1:7" x14ac:dyDescent="0.3">
      <c r="A15" s="38">
        <v>46156</v>
      </c>
      <c r="B15" s="7" t="s">
        <v>117</v>
      </c>
      <c r="C15" s="31"/>
      <c r="D15" s="31">
        <f t="shared" si="0"/>
        <v>0</v>
      </c>
      <c r="E15" s="7"/>
    </row>
    <row r="16" spans="1:7" x14ac:dyDescent="0.3">
      <c r="A16" s="40">
        <v>46157</v>
      </c>
      <c r="B16" s="5" t="s">
        <v>119</v>
      </c>
      <c r="C16" s="29"/>
      <c r="D16" s="29">
        <f t="shared" si="0"/>
        <v>0</v>
      </c>
      <c r="E16" s="5"/>
    </row>
    <row r="17" spans="1:5" x14ac:dyDescent="0.3">
      <c r="A17" s="40">
        <v>46158</v>
      </c>
      <c r="B17" s="5" t="s">
        <v>121</v>
      </c>
      <c r="C17" s="29"/>
      <c r="D17" s="29">
        <f t="shared" si="0"/>
        <v>0</v>
      </c>
      <c r="E17" s="5"/>
    </row>
    <row r="18" spans="1:5" x14ac:dyDescent="0.3">
      <c r="A18" s="40">
        <v>46160</v>
      </c>
      <c r="B18" s="5" t="s">
        <v>111</v>
      </c>
      <c r="C18" s="29"/>
      <c r="D18" s="29">
        <f t="shared" si="0"/>
        <v>0</v>
      </c>
      <c r="E18" s="5"/>
    </row>
    <row r="19" spans="1:5" x14ac:dyDescent="0.3">
      <c r="A19" s="40">
        <v>46161</v>
      </c>
      <c r="B19" s="5" t="s">
        <v>113</v>
      </c>
      <c r="C19" s="29"/>
      <c r="D19" s="29">
        <f t="shared" si="0"/>
        <v>0</v>
      </c>
      <c r="E19" s="5"/>
    </row>
    <row r="20" spans="1:5" x14ac:dyDescent="0.3">
      <c r="A20" s="40">
        <v>46162</v>
      </c>
      <c r="B20" s="5" t="s">
        <v>115</v>
      </c>
      <c r="C20" s="29"/>
      <c r="D20" s="29">
        <f t="shared" si="0"/>
        <v>0</v>
      </c>
      <c r="E20" s="5"/>
    </row>
    <row r="21" spans="1:5" x14ac:dyDescent="0.3">
      <c r="A21" s="40">
        <v>46163</v>
      </c>
      <c r="B21" s="5" t="s">
        <v>117</v>
      </c>
      <c r="C21" s="29"/>
      <c r="D21" s="29">
        <f t="shared" si="0"/>
        <v>0</v>
      </c>
      <c r="E21" s="5"/>
    </row>
    <row r="22" spans="1:5" x14ac:dyDescent="0.3">
      <c r="A22" s="38">
        <v>46164</v>
      </c>
      <c r="B22" s="7" t="s">
        <v>119</v>
      </c>
      <c r="C22" s="31"/>
      <c r="D22" s="31">
        <f t="shared" si="0"/>
        <v>0</v>
      </c>
      <c r="E22" s="7"/>
    </row>
    <row r="23" spans="1:5" x14ac:dyDescent="0.3">
      <c r="A23" s="38">
        <v>46165</v>
      </c>
      <c r="B23" s="7" t="s">
        <v>121</v>
      </c>
      <c r="C23" s="31"/>
      <c r="D23" s="31">
        <f t="shared" si="0"/>
        <v>0</v>
      </c>
      <c r="E23" s="7"/>
    </row>
    <row r="24" spans="1:5" x14ac:dyDescent="0.3">
      <c r="A24" s="38">
        <v>46167</v>
      </c>
      <c r="B24" s="7" t="s">
        <v>111</v>
      </c>
      <c r="C24" s="31"/>
      <c r="D24" s="31">
        <f t="shared" si="0"/>
        <v>0</v>
      </c>
      <c r="E24" s="7"/>
    </row>
    <row r="25" spans="1:5" x14ac:dyDescent="0.3">
      <c r="A25" s="38">
        <v>46168</v>
      </c>
      <c r="B25" s="7" t="s">
        <v>113</v>
      </c>
      <c r="C25" s="31"/>
      <c r="D25" s="31">
        <f t="shared" si="0"/>
        <v>0</v>
      </c>
      <c r="E25" s="7"/>
    </row>
    <row r="26" spans="1:5" x14ac:dyDescent="0.3">
      <c r="A26" s="38">
        <v>46169</v>
      </c>
      <c r="B26" s="7" t="s">
        <v>115</v>
      </c>
      <c r="C26" s="31"/>
      <c r="D26" s="31">
        <f t="shared" si="0"/>
        <v>0</v>
      </c>
      <c r="E26" s="7"/>
    </row>
    <row r="27" spans="1:5" x14ac:dyDescent="0.3">
      <c r="A27" s="38">
        <v>46170</v>
      </c>
      <c r="B27" s="7" t="s">
        <v>117</v>
      </c>
      <c r="C27" s="31"/>
      <c r="D27" s="31">
        <f t="shared" si="0"/>
        <v>0</v>
      </c>
      <c r="E27" s="7"/>
    </row>
    <row r="28" spans="1:5" x14ac:dyDescent="0.3">
      <c r="A28" s="40">
        <v>46171</v>
      </c>
      <c r="B28" s="5" t="s">
        <v>119</v>
      </c>
      <c r="C28" s="29"/>
      <c r="D28" s="29">
        <f t="shared" si="0"/>
        <v>0</v>
      </c>
      <c r="E28" s="5"/>
    </row>
    <row r="29" spans="1:5" x14ac:dyDescent="0.3">
      <c r="A29" s="40">
        <v>46172</v>
      </c>
      <c r="B29" s="5" t="s">
        <v>121</v>
      </c>
      <c r="C29" s="29"/>
      <c r="D29" s="29">
        <f t="shared" si="0"/>
        <v>0</v>
      </c>
      <c r="E29" s="5"/>
    </row>
    <row r="30" spans="1:5" x14ac:dyDescent="0.3">
      <c r="A30" s="40">
        <v>46174</v>
      </c>
      <c r="B30" s="5" t="s">
        <v>111</v>
      </c>
      <c r="C30" s="29"/>
      <c r="D30" s="29">
        <f t="shared" si="0"/>
        <v>0</v>
      </c>
      <c r="E30" s="5"/>
    </row>
    <row r="31" spans="1:5" x14ac:dyDescent="0.3">
      <c r="A31" s="40">
        <v>46175</v>
      </c>
      <c r="B31" s="5" t="s">
        <v>113</v>
      </c>
      <c r="C31" s="29"/>
      <c r="D31" s="29">
        <f t="shared" si="0"/>
        <v>0</v>
      </c>
      <c r="E31" s="5"/>
    </row>
    <row r="32" spans="1:5" x14ac:dyDescent="0.3">
      <c r="A32" s="40">
        <v>46176</v>
      </c>
      <c r="B32" s="5" t="s">
        <v>115</v>
      </c>
      <c r="C32" s="29"/>
      <c r="D32" s="29">
        <f t="shared" si="0"/>
        <v>0</v>
      </c>
      <c r="E32" s="5"/>
    </row>
    <row r="33" spans="1:5" x14ac:dyDescent="0.3">
      <c r="A33" s="40">
        <v>46177</v>
      </c>
      <c r="B33" s="5" t="s">
        <v>117</v>
      </c>
      <c r="C33" s="29"/>
      <c r="D33" s="29">
        <f t="shared" si="0"/>
        <v>0</v>
      </c>
      <c r="E33" s="5"/>
    </row>
    <row r="34" spans="1:5" x14ac:dyDescent="0.3">
      <c r="A34" s="38">
        <v>46178</v>
      </c>
      <c r="B34" s="7" t="s">
        <v>119</v>
      </c>
      <c r="C34" s="31"/>
      <c r="D34" s="31">
        <f t="shared" si="0"/>
        <v>0</v>
      </c>
      <c r="E34" s="7"/>
    </row>
    <row r="35" spans="1:5" x14ac:dyDescent="0.3">
      <c r="A35" s="38">
        <v>46179</v>
      </c>
      <c r="B35" s="7" t="s">
        <v>121</v>
      </c>
      <c r="C35" s="31"/>
      <c r="D35" s="31">
        <f t="shared" si="0"/>
        <v>0</v>
      </c>
      <c r="E35" s="7"/>
    </row>
    <row r="36" spans="1:5" x14ac:dyDescent="0.3">
      <c r="A36" s="38">
        <v>46181</v>
      </c>
      <c r="B36" s="7" t="s">
        <v>111</v>
      </c>
      <c r="C36" s="31"/>
      <c r="D36" s="31">
        <f t="shared" si="0"/>
        <v>0</v>
      </c>
      <c r="E36" s="7"/>
    </row>
    <row r="37" spans="1:5" x14ac:dyDescent="0.3">
      <c r="A37" s="38">
        <v>46182</v>
      </c>
      <c r="B37" s="7" t="s">
        <v>113</v>
      </c>
      <c r="C37" s="31"/>
      <c r="D37" s="31">
        <f t="shared" ref="D37:D68" si="1">D36+C37</f>
        <v>0</v>
      </c>
      <c r="E37" s="7"/>
    </row>
    <row r="38" spans="1:5" x14ac:dyDescent="0.3">
      <c r="A38" s="38">
        <v>46183</v>
      </c>
      <c r="B38" s="7" t="s">
        <v>115</v>
      </c>
      <c r="C38" s="31"/>
      <c r="D38" s="31">
        <f t="shared" si="1"/>
        <v>0</v>
      </c>
      <c r="E38" s="7"/>
    </row>
    <row r="39" spans="1:5" x14ac:dyDescent="0.3">
      <c r="A39" s="38">
        <v>46184</v>
      </c>
      <c r="B39" s="7" t="s">
        <v>117</v>
      </c>
      <c r="C39" s="31"/>
      <c r="D39" s="31">
        <f t="shared" si="1"/>
        <v>0</v>
      </c>
      <c r="E39" s="7"/>
    </row>
    <row r="40" spans="1:5" x14ac:dyDescent="0.3">
      <c r="A40" s="40">
        <v>46185</v>
      </c>
      <c r="B40" s="5" t="s">
        <v>119</v>
      </c>
      <c r="C40" s="29"/>
      <c r="D40" s="29">
        <f t="shared" si="1"/>
        <v>0</v>
      </c>
      <c r="E40" s="5"/>
    </row>
    <row r="41" spans="1:5" x14ac:dyDescent="0.3">
      <c r="A41" s="40">
        <v>46186</v>
      </c>
      <c r="B41" s="5" t="s">
        <v>121</v>
      </c>
      <c r="C41" s="29"/>
      <c r="D41" s="29">
        <f t="shared" si="1"/>
        <v>0</v>
      </c>
      <c r="E41" s="5"/>
    </row>
    <row r="42" spans="1:5" x14ac:dyDescent="0.3">
      <c r="A42" s="40">
        <v>46188</v>
      </c>
      <c r="B42" s="5" t="s">
        <v>111</v>
      </c>
      <c r="C42" s="29"/>
      <c r="D42" s="29">
        <f t="shared" si="1"/>
        <v>0</v>
      </c>
      <c r="E42" s="5"/>
    </row>
    <row r="43" spans="1:5" x14ac:dyDescent="0.3">
      <c r="A43" s="40">
        <v>46189</v>
      </c>
      <c r="B43" s="5" t="s">
        <v>113</v>
      </c>
      <c r="C43" s="29"/>
      <c r="D43" s="29">
        <f t="shared" si="1"/>
        <v>0</v>
      </c>
      <c r="E43" s="5"/>
    </row>
    <row r="44" spans="1:5" x14ac:dyDescent="0.3">
      <c r="A44" s="40">
        <v>46190</v>
      </c>
      <c r="B44" s="5" t="s">
        <v>115</v>
      </c>
      <c r="C44" s="29"/>
      <c r="D44" s="29">
        <f t="shared" si="1"/>
        <v>0</v>
      </c>
      <c r="E44" s="5"/>
    </row>
    <row r="45" spans="1:5" x14ac:dyDescent="0.3">
      <c r="A45" s="40">
        <v>46191</v>
      </c>
      <c r="B45" s="5" t="s">
        <v>117</v>
      </c>
      <c r="C45" s="29"/>
      <c r="D45" s="29">
        <f t="shared" si="1"/>
        <v>0</v>
      </c>
      <c r="E45" s="5"/>
    </row>
    <row r="46" spans="1:5" x14ac:dyDescent="0.3">
      <c r="A46" s="38">
        <v>46192</v>
      </c>
      <c r="B46" s="7" t="s">
        <v>119</v>
      </c>
      <c r="C46" s="31"/>
      <c r="D46" s="31">
        <f t="shared" si="1"/>
        <v>0</v>
      </c>
      <c r="E46" s="7"/>
    </row>
    <row r="47" spans="1:5" x14ac:dyDescent="0.3">
      <c r="A47" s="38">
        <v>46193</v>
      </c>
      <c r="B47" s="7" t="s">
        <v>121</v>
      </c>
      <c r="C47" s="31"/>
      <c r="D47" s="31">
        <f t="shared" si="1"/>
        <v>0</v>
      </c>
      <c r="E47" s="7"/>
    </row>
    <row r="48" spans="1:5" x14ac:dyDescent="0.3">
      <c r="A48" s="38">
        <v>46195</v>
      </c>
      <c r="B48" s="7" t="s">
        <v>111</v>
      </c>
      <c r="C48" s="31"/>
      <c r="D48" s="31">
        <f t="shared" si="1"/>
        <v>0</v>
      </c>
      <c r="E48" s="7"/>
    </row>
    <row r="49" spans="1:5" x14ac:dyDescent="0.3">
      <c r="A49" s="38">
        <v>46196</v>
      </c>
      <c r="B49" s="7" t="s">
        <v>113</v>
      </c>
      <c r="C49" s="31"/>
      <c r="D49" s="31">
        <f t="shared" si="1"/>
        <v>0</v>
      </c>
      <c r="E49" s="7"/>
    </row>
    <row r="50" spans="1:5" x14ac:dyDescent="0.3">
      <c r="A50" s="38">
        <v>46197</v>
      </c>
      <c r="B50" s="7" t="s">
        <v>115</v>
      </c>
      <c r="C50" s="31"/>
      <c r="D50" s="31">
        <f t="shared" si="1"/>
        <v>0</v>
      </c>
      <c r="E50" s="7"/>
    </row>
    <row r="51" spans="1:5" x14ac:dyDescent="0.3">
      <c r="A51" s="38">
        <v>46198</v>
      </c>
      <c r="B51" s="7" t="s">
        <v>117</v>
      </c>
      <c r="C51" s="31"/>
      <c r="D51" s="31">
        <f t="shared" si="1"/>
        <v>0</v>
      </c>
      <c r="E51" s="7"/>
    </row>
    <row r="52" spans="1:5" x14ac:dyDescent="0.3">
      <c r="A52" s="40">
        <v>46199</v>
      </c>
      <c r="B52" s="5" t="s">
        <v>119</v>
      </c>
      <c r="C52" s="29"/>
      <c r="D52" s="29">
        <f t="shared" si="1"/>
        <v>0</v>
      </c>
      <c r="E52" s="5"/>
    </row>
    <row r="53" spans="1:5" x14ac:dyDescent="0.3">
      <c r="A53" s="40">
        <v>46200</v>
      </c>
      <c r="B53" s="5" t="s">
        <v>121</v>
      </c>
      <c r="C53" s="29"/>
      <c r="D53" s="29">
        <f t="shared" si="1"/>
        <v>0</v>
      </c>
      <c r="E53" s="5"/>
    </row>
    <row r="54" spans="1:5" x14ac:dyDescent="0.3">
      <c r="A54" s="40">
        <v>46202</v>
      </c>
      <c r="B54" s="5" t="s">
        <v>111</v>
      </c>
      <c r="C54" s="29"/>
      <c r="D54" s="29">
        <f t="shared" si="1"/>
        <v>0</v>
      </c>
      <c r="E54" s="5"/>
    </row>
    <row r="55" spans="1:5" x14ac:dyDescent="0.3">
      <c r="A55" s="40">
        <v>46203</v>
      </c>
      <c r="B55" s="5" t="s">
        <v>113</v>
      </c>
      <c r="C55" s="29"/>
      <c r="D55" s="29">
        <f t="shared" si="1"/>
        <v>0</v>
      </c>
      <c r="E55" s="5"/>
    </row>
    <row r="56" spans="1:5" x14ac:dyDescent="0.3">
      <c r="A56" s="40">
        <v>46204</v>
      </c>
      <c r="B56" s="5" t="s">
        <v>115</v>
      </c>
      <c r="C56" s="29"/>
      <c r="D56" s="29">
        <f t="shared" si="1"/>
        <v>0</v>
      </c>
      <c r="E56" s="5"/>
    </row>
    <row r="57" spans="1:5" x14ac:dyDescent="0.3">
      <c r="A57" s="40">
        <v>46205</v>
      </c>
      <c r="B57" s="5" t="s">
        <v>117</v>
      </c>
      <c r="C57" s="29"/>
      <c r="D57" s="29">
        <f t="shared" si="1"/>
        <v>0</v>
      </c>
      <c r="E57" s="5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Chapter Plan</vt:lpstr>
      <vt:lpstr>Daily Schedule</vt:lpstr>
      <vt:lpstr>Daily Routine</vt:lpstr>
      <vt:lpstr>Risks &amp; Mitigations</vt:lpstr>
      <vt:lpstr>Word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Milan Joshi</cp:lastModifiedBy>
  <dcterms:created xsi:type="dcterms:W3CDTF">2026-04-27T12:14:03Z</dcterms:created>
  <dcterms:modified xsi:type="dcterms:W3CDTF">2026-04-27T12:25:33Z</dcterms:modified>
</cp:coreProperties>
</file>